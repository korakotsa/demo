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My Download\"/>
    </mc:Choice>
  </mc:AlternateContent>
  <xr:revisionPtr revIDLastSave="0" documentId="13_ncr:1_{C909F109-2017-4626-BCEA-B09EA42DEDF6}" xr6:coauthVersionLast="47" xr6:coauthVersionMax="47" xr10:uidLastSave="{00000000-0000-0000-0000-000000000000}"/>
  <bookViews>
    <workbookView xWindow="-108" yWindow="-108" windowWidth="23256" windowHeight="12576" tabRatio="650" firstSheet="2" activeTab="2" xr2:uid="{00000000-000D-0000-FFFF-FFFF00000000}"/>
  </bookViews>
  <sheets>
    <sheet name="Call-FollowUp form" sheetId="13" state="hidden" r:id="rId1"/>
    <sheet name="Call_Form" sheetId="11" state="hidden" r:id="rId2"/>
    <sheet name="Form_เพิ่มลูกค้า" sheetId="18" r:id="rId3"/>
    <sheet name="Customer Structure" sheetId="24" r:id="rId4"/>
    <sheet name="Index" sheetId="23" state="hidden" r:id="rId5"/>
    <sheet name="Request_B2B" sheetId="3" state="hidden" r:id="rId6"/>
    <sheet name="Questionaire" sheetId="6" state="hidden" r:id="rId7"/>
    <sheet name="Visit Form" sheetId="10" state="hidden" r:id="rId8"/>
  </sheets>
  <definedNames>
    <definedName name="_xlnm._FilterDatabase" localSheetId="3" hidden="1">'Customer Structure'!$B$2:$J$2</definedName>
    <definedName name="_xlnm.Print_Area" localSheetId="1">Call_Form!$A$1:$I$21</definedName>
    <definedName name="_xlnm.Print_Area" localSheetId="2">Form_เพิ่มลูกค้า!$A$1:$AE$26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1" i="24" l="1"/>
  <c r="H91" i="24"/>
  <c r="G92" i="24"/>
  <c r="H92" i="24"/>
  <c r="G93" i="24"/>
  <c r="H93" i="24"/>
  <c r="G94" i="24"/>
  <c r="H94" i="24"/>
  <c r="G95" i="24"/>
  <c r="H95" i="24"/>
  <c r="G96" i="24"/>
  <c r="H96" i="24"/>
  <c r="G97" i="24"/>
  <c r="H97" i="24"/>
  <c r="G98" i="24"/>
  <c r="H98" i="24"/>
  <c r="G99" i="24"/>
  <c r="H99" i="24"/>
  <c r="G100" i="24"/>
  <c r="H100" i="24"/>
  <c r="G101" i="24"/>
  <c r="H101" i="24"/>
  <c r="G102" i="24"/>
  <c r="H102" i="24"/>
  <c r="G103" i="24"/>
  <c r="H103" i="24"/>
  <c r="G104" i="24"/>
  <c r="H104" i="24"/>
  <c r="G105" i="24"/>
  <c r="H105" i="24"/>
  <c r="G106" i="24"/>
  <c r="H106" i="24"/>
  <c r="G107" i="24"/>
  <c r="H107" i="24"/>
  <c r="G108" i="24"/>
  <c r="H108" i="24"/>
  <c r="G109" i="24"/>
  <c r="H109" i="24"/>
  <c r="G110" i="24"/>
  <c r="H110" i="24"/>
  <c r="G111" i="24"/>
  <c r="H111" i="24"/>
  <c r="G112" i="24"/>
  <c r="H112" i="24"/>
  <c r="G113" i="24"/>
  <c r="H113" i="24"/>
  <c r="G114" i="24"/>
  <c r="H114" i="24"/>
  <c r="G115" i="24"/>
  <c r="H115" i="24"/>
  <c r="G116" i="24"/>
  <c r="H116" i="24"/>
  <c r="G117" i="24"/>
  <c r="H117" i="24"/>
  <c r="G118" i="24"/>
  <c r="H118" i="24"/>
  <c r="H90" i="24"/>
  <c r="G90" i="24"/>
  <c r="F91" i="24"/>
  <c r="F92" i="24"/>
  <c r="F93" i="24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09" i="24"/>
  <c r="F110" i="24"/>
  <c r="F111" i="24"/>
  <c r="F112" i="24"/>
  <c r="F113" i="24"/>
  <c r="F114" i="24"/>
  <c r="F115" i="24"/>
  <c r="F116" i="24"/>
  <c r="F117" i="24"/>
  <c r="F118" i="24"/>
  <c r="F90" i="24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AJ8" i="18"/>
  <c r="AI8" i="18"/>
  <c r="AH8" i="18"/>
  <c r="AF8" i="18"/>
  <c r="F8" i="18"/>
  <c r="AK8" i="18" l="1"/>
  <c r="F9" i="18"/>
  <c r="F7" i="18"/>
  <c r="F6" i="18"/>
  <c r="AF4" i="18" l="1"/>
  <c r="AH4" i="18"/>
  <c r="AI4" i="18"/>
  <c r="AK4" i="18" s="1"/>
  <c r="AJ4" i="18"/>
  <c r="AF6" i="18"/>
  <c r="AH6" i="18"/>
  <c r="AI6" i="18"/>
  <c r="AK6" i="18" s="1"/>
  <c r="AJ6" i="18"/>
  <c r="AF7" i="18"/>
  <c r="AH7" i="18"/>
  <c r="AI7" i="18"/>
  <c r="AK7" i="18" s="1"/>
  <c r="AJ7" i="18"/>
  <c r="AF9" i="18"/>
  <c r="AH9" i="18"/>
  <c r="AI9" i="18"/>
  <c r="AK9" i="18" s="1"/>
  <c r="AJ9" i="18"/>
  <c r="AF10" i="18"/>
  <c r="AH10" i="18"/>
  <c r="AI10" i="18"/>
  <c r="AK10" i="18" s="1"/>
  <c r="AJ10" i="18"/>
  <c r="AF11" i="18"/>
  <c r="AH11" i="18"/>
  <c r="AI11" i="18"/>
  <c r="AK11" i="18" s="1"/>
  <c r="AJ11" i="18"/>
  <c r="AF12" i="18"/>
  <c r="AH12" i="18"/>
  <c r="AI12" i="18"/>
  <c r="AK12" i="18" s="1"/>
  <c r="AJ12" i="18"/>
  <c r="AF13" i="18"/>
  <c r="AH13" i="18"/>
  <c r="AI13" i="18"/>
  <c r="AK13" i="18" s="1"/>
  <c r="AJ13" i="18"/>
  <c r="AF14" i="18"/>
  <c r="AH14" i="18"/>
  <c r="AI14" i="18"/>
  <c r="AK14" i="18" s="1"/>
  <c r="AJ14" i="18"/>
  <c r="AF15" i="18"/>
  <c r="AH15" i="18"/>
  <c r="AI15" i="18"/>
  <c r="AK15" i="18" s="1"/>
  <c r="AJ15" i="18"/>
  <c r="AF16" i="18"/>
  <c r="AH16" i="18"/>
  <c r="AI16" i="18"/>
  <c r="AK16" i="18" s="1"/>
  <c r="AJ16" i="18"/>
  <c r="AF17" i="18"/>
  <c r="AH17" i="18"/>
  <c r="AI17" i="18"/>
  <c r="AK17" i="18" s="1"/>
  <c r="AJ17" i="18"/>
  <c r="AF18" i="18"/>
  <c r="AH18" i="18"/>
  <c r="AI18" i="18"/>
  <c r="AK18" i="18" s="1"/>
  <c r="AJ18" i="18"/>
  <c r="AF19" i="18"/>
  <c r="AH19" i="18"/>
  <c r="AI19" i="18"/>
  <c r="AK19" i="18" s="1"/>
  <c r="AJ19" i="18"/>
  <c r="AF20" i="18"/>
  <c r="AH20" i="18"/>
  <c r="AI20" i="18"/>
  <c r="AK20" i="18" s="1"/>
  <c r="AJ20" i="18"/>
  <c r="AF21" i="18"/>
  <c r="AH21" i="18"/>
  <c r="AI21" i="18"/>
  <c r="AK21" i="18" s="1"/>
  <c r="AJ21" i="18"/>
  <c r="AF22" i="18"/>
  <c r="AH22" i="18"/>
  <c r="AI22" i="18"/>
  <c r="AK22" i="18" s="1"/>
  <c r="AJ22" i="18"/>
  <c r="AF23" i="18"/>
  <c r="AH23" i="18"/>
  <c r="AI23" i="18"/>
  <c r="AK23" i="18" s="1"/>
  <c r="AJ23" i="18"/>
  <c r="AF24" i="18"/>
  <c r="AH24" i="18"/>
  <c r="AI24" i="18"/>
  <c r="AK24" i="18" s="1"/>
  <c r="AJ24" i="18"/>
  <c r="AF25" i="18"/>
  <c r="AH25" i="18"/>
  <c r="AI25" i="18"/>
  <c r="AK25" i="18" s="1"/>
  <c r="AJ25" i="18"/>
  <c r="AF26" i="18"/>
  <c r="AH26" i="18"/>
  <c r="AI26" i="18"/>
  <c r="AK26" i="18" s="1"/>
  <c r="AJ26" i="18"/>
  <c r="AF27" i="18"/>
  <c r="AH27" i="18"/>
  <c r="AI27" i="18"/>
  <c r="AK27" i="18" s="1"/>
  <c r="AJ27" i="18"/>
  <c r="AF28" i="18"/>
  <c r="AH28" i="18"/>
  <c r="AI28" i="18"/>
  <c r="AK28" i="18" s="1"/>
  <c r="AJ28" i="18"/>
  <c r="AF29" i="18"/>
  <c r="AH29" i="18"/>
  <c r="AI29" i="18"/>
  <c r="AK29" i="18" s="1"/>
  <c r="AJ29" i="18"/>
  <c r="AF30" i="18"/>
  <c r="AH30" i="18"/>
  <c r="AI30" i="18"/>
  <c r="AK30" i="18" s="1"/>
  <c r="AJ30" i="18"/>
  <c r="AF31" i="18"/>
  <c r="AH31" i="18"/>
  <c r="AI31" i="18"/>
  <c r="AK31" i="18" s="1"/>
  <c r="AJ31" i="18"/>
  <c r="AF32" i="18"/>
  <c r="AH32" i="18"/>
  <c r="AI32" i="18"/>
  <c r="AK32" i="18" s="1"/>
  <c r="AJ32" i="18"/>
  <c r="AF33" i="18"/>
  <c r="AH33" i="18"/>
  <c r="AI33" i="18"/>
  <c r="AK33" i="18" s="1"/>
  <c r="AJ33" i="18"/>
  <c r="AF34" i="18"/>
  <c r="AH34" i="18"/>
  <c r="AI34" i="18"/>
  <c r="AK34" i="18" s="1"/>
  <c r="AJ34" i="18"/>
  <c r="AF35" i="18"/>
  <c r="AH35" i="18"/>
  <c r="AI35" i="18"/>
  <c r="AK35" i="18" s="1"/>
  <c r="AJ35" i="18"/>
  <c r="AF36" i="18"/>
  <c r="AH36" i="18"/>
  <c r="AI36" i="18"/>
  <c r="AK36" i="18" s="1"/>
  <c r="AJ36" i="18"/>
  <c r="AF37" i="18"/>
  <c r="AH37" i="18"/>
  <c r="AI37" i="18"/>
  <c r="AK37" i="18" s="1"/>
  <c r="AJ37" i="18"/>
  <c r="AF38" i="18"/>
  <c r="AH38" i="18"/>
  <c r="AI38" i="18"/>
  <c r="AK38" i="18" s="1"/>
  <c r="AJ38" i="18"/>
  <c r="AF39" i="18"/>
  <c r="AH39" i="18"/>
  <c r="AI39" i="18"/>
  <c r="AK39" i="18" s="1"/>
  <c r="AJ39" i="18"/>
  <c r="AF40" i="18"/>
  <c r="AH40" i="18"/>
  <c r="AI40" i="18"/>
  <c r="AK40" i="18" s="1"/>
  <c r="AJ40" i="18"/>
  <c r="AF41" i="18"/>
  <c r="AH41" i="18"/>
  <c r="AI41" i="18"/>
  <c r="AK41" i="18" s="1"/>
  <c r="AJ41" i="18"/>
  <c r="AF42" i="18"/>
  <c r="AH42" i="18"/>
  <c r="AI42" i="18"/>
  <c r="AK42" i="18" s="1"/>
  <c r="AJ42" i="18"/>
  <c r="AF43" i="18"/>
  <c r="AH43" i="18"/>
  <c r="AI43" i="18"/>
  <c r="AK43" i="18" s="1"/>
  <c r="AJ43" i="18"/>
  <c r="AF44" i="18"/>
  <c r="AH44" i="18"/>
  <c r="AI44" i="18"/>
  <c r="AK44" i="18" s="1"/>
  <c r="AJ44" i="18"/>
  <c r="AF45" i="18"/>
  <c r="AH45" i="18"/>
  <c r="AI45" i="18"/>
  <c r="AK45" i="18" s="1"/>
  <c r="AJ45" i="18"/>
  <c r="AF46" i="18"/>
  <c r="AH46" i="18"/>
  <c r="AI46" i="18"/>
  <c r="AK46" i="18" s="1"/>
  <c r="AJ46" i="18"/>
  <c r="AF47" i="18"/>
  <c r="AH47" i="18"/>
  <c r="AI47" i="18"/>
  <c r="AK47" i="18" s="1"/>
  <c r="AJ47" i="18"/>
  <c r="AF48" i="18"/>
  <c r="AH48" i="18"/>
  <c r="AI48" i="18"/>
  <c r="AK48" i="18" s="1"/>
  <c r="AJ48" i="18"/>
  <c r="AF49" i="18"/>
  <c r="AH49" i="18"/>
  <c r="AI49" i="18"/>
  <c r="AK49" i="18" s="1"/>
  <c r="AJ49" i="18"/>
  <c r="AF50" i="18"/>
  <c r="AH50" i="18"/>
  <c r="AI50" i="18"/>
  <c r="AK50" i="18" s="1"/>
  <c r="AJ50" i="18"/>
  <c r="AF51" i="18"/>
  <c r="AH51" i="18"/>
  <c r="AI51" i="18"/>
  <c r="AK51" i="18" s="1"/>
  <c r="AJ51" i="18"/>
  <c r="AF52" i="18"/>
  <c r="AH52" i="18"/>
  <c r="AI52" i="18"/>
  <c r="AK52" i="18" s="1"/>
  <c r="AJ52" i="18"/>
  <c r="AF53" i="18"/>
  <c r="AH53" i="18"/>
  <c r="AI53" i="18"/>
  <c r="AK53" i="18" s="1"/>
  <c r="AJ53" i="18"/>
  <c r="AF54" i="18"/>
  <c r="AH54" i="18"/>
  <c r="AI54" i="18"/>
  <c r="AK54" i="18" s="1"/>
  <c r="AJ54" i="18"/>
  <c r="AF55" i="18"/>
  <c r="AH55" i="18"/>
  <c r="AI55" i="18"/>
  <c r="AK55" i="18" s="1"/>
  <c r="AJ55" i="18"/>
  <c r="AF56" i="18"/>
  <c r="AH56" i="18"/>
  <c r="AI56" i="18"/>
  <c r="AK56" i="18" s="1"/>
  <c r="AJ56" i="18"/>
  <c r="AF57" i="18"/>
  <c r="AH57" i="18"/>
  <c r="AI57" i="18"/>
  <c r="AK57" i="18" s="1"/>
  <c r="AJ57" i="18"/>
  <c r="AF58" i="18"/>
  <c r="AH58" i="18"/>
  <c r="AI58" i="18"/>
  <c r="AK58" i="18" s="1"/>
  <c r="AJ58" i="18"/>
  <c r="AF59" i="18"/>
  <c r="AH59" i="18"/>
  <c r="AI59" i="18"/>
  <c r="AK59" i="18" s="1"/>
  <c r="AJ59" i="18"/>
  <c r="AF60" i="18"/>
  <c r="AH60" i="18"/>
  <c r="AI60" i="18"/>
  <c r="AK60" i="18" s="1"/>
  <c r="AJ60" i="18"/>
  <c r="AF61" i="18"/>
  <c r="AH61" i="18"/>
  <c r="AI61" i="18"/>
  <c r="AK61" i="18" s="1"/>
  <c r="AJ61" i="18"/>
  <c r="AF62" i="18"/>
  <c r="AH62" i="18"/>
  <c r="AI62" i="18"/>
  <c r="AK62" i="18" s="1"/>
  <c r="AJ62" i="18"/>
  <c r="AF63" i="18"/>
  <c r="AH63" i="18"/>
  <c r="AI63" i="18"/>
  <c r="AK63" i="18" s="1"/>
  <c r="AJ63" i="18"/>
  <c r="AF64" i="18"/>
  <c r="AH64" i="18"/>
  <c r="AI64" i="18"/>
  <c r="AK64" i="18" s="1"/>
  <c r="AJ64" i="18"/>
  <c r="AF65" i="18"/>
  <c r="AH65" i="18"/>
  <c r="AI65" i="18"/>
  <c r="AK65" i="18" s="1"/>
  <c r="AJ65" i="18"/>
  <c r="AF66" i="18"/>
  <c r="AH66" i="18"/>
  <c r="AI66" i="18"/>
  <c r="AK66" i="18" s="1"/>
  <c r="AJ66" i="18"/>
  <c r="AF67" i="18"/>
  <c r="AH67" i="18"/>
  <c r="AI67" i="18"/>
  <c r="AK67" i="18" s="1"/>
  <c r="AJ67" i="18"/>
  <c r="AF68" i="18"/>
  <c r="AH68" i="18"/>
  <c r="AI68" i="18"/>
  <c r="AK68" i="18" s="1"/>
  <c r="AJ68" i="18"/>
  <c r="AF69" i="18"/>
  <c r="AH69" i="18"/>
  <c r="AI69" i="18"/>
  <c r="AK69" i="18" s="1"/>
  <c r="AJ69" i="18"/>
  <c r="AF70" i="18"/>
  <c r="AH70" i="18"/>
  <c r="AI70" i="18"/>
  <c r="AK70" i="18" s="1"/>
  <c r="AJ70" i="18"/>
  <c r="AF71" i="18"/>
  <c r="AH71" i="18"/>
  <c r="AI71" i="18"/>
  <c r="AK71" i="18" s="1"/>
  <c r="AJ71" i="18"/>
  <c r="AF72" i="18"/>
  <c r="AH72" i="18"/>
  <c r="AI72" i="18"/>
  <c r="AK72" i="18" s="1"/>
  <c r="AJ72" i="18"/>
  <c r="AF73" i="18"/>
  <c r="AH73" i="18"/>
  <c r="AI73" i="18"/>
  <c r="AK73" i="18" s="1"/>
  <c r="AJ73" i="18"/>
  <c r="AF74" i="18"/>
  <c r="AH74" i="18"/>
  <c r="AI74" i="18"/>
  <c r="AK74" i="18" s="1"/>
  <c r="AJ74" i="18"/>
  <c r="AF75" i="18"/>
  <c r="AH75" i="18"/>
  <c r="AI75" i="18"/>
  <c r="AK75" i="18" s="1"/>
  <c r="AJ75" i="18"/>
  <c r="AF76" i="18"/>
  <c r="AH76" i="18"/>
  <c r="AI76" i="18"/>
  <c r="AK76" i="18" s="1"/>
  <c r="AJ76" i="18"/>
  <c r="AF77" i="18"/>
  <c r="AH77" i="18"/>
  <c r="AI77" i="18"/>
  <c r="AK77" i="18" s="1"/>
  <c r="AJ77" i="18"/>
  <c r="AF78" i="18"/>
  <c r="AH78" i="18"/>
  <c r="AI78" i="18"/>
  <c r="AK78" i="18" s="1"/>
  <c r="AJ78" i="18"/>
  <c r="AF79" i="18"/>
  <c r="AH79" i="18"/>
  <c r="AI79" i="18"/>
  <c r="AK79" i="18" s="1"/>
  <c r="AJ79" i="18"/>
  <c r="AF80" i="18"/>
  <c r="AH80" i="18"/>
  <c r="AI80" i="18"/>
  <c r="AK80" i="18" s="1"/>
  <c r="AJ80" i="18"/>
  <c r="AF81" i="18"/>
  <c r="AH81" i="18"/>
  <c r="AI81" i="18"/>
  <c r="AK81" i="18" s="1"/>
  <c r="AJ81" i="18"/>
  <c r="AF82" i="18"/>
  <c r="AH82" i="18"/>
  <c r="AI82" i="18"/>
  <c r="AK82" i="18" s="1"/>
  <c r="AJ82" i="18"/>
  <c r="AF83" i="18"/>
  <c r="AH83" i="18"/>
  <c r="AI83" i="18"/>
  <c r="AK83" i="18" s="1"/>
  <c r="AJ83" i="18"/>
  <c r="AF84" i="18"/>
  <c r="AH84" i="18"/>
  <c r="AI84" i="18"/>
  <c r="AK84" i="18" s="1"/>
  <c r="AJ84" i="18"/>
  <c r="AF85" i="18"/>
  <c r="AH85" i="18"/>
  <c r="AI85" i="18"/>
  <c r="AK85" i="18" s="1"/>
  <c r="AJ85" i="18"/>
  <c r="AF86" i="18"/>
  <c r="AH86" i="18"/>
  <c r="AI86" i="18"/>
  <c r="AK86" i="18" s="1"/>
  <c r="AJ86" i="18"/>
  <c r="AF87" i="18"/>
  <c r="AH87" i="18"/>
  <c r="AI87" i="18"/>
  <c r="AK87" i="18" s="1"/>
  <c r="AJ87" i="18"/>
  <c r="AF88" i="18"/>
  <c r="AH88" i="18"/>
  <c r="AI88" i="18"/>
  <c r="AK88" i="18" s="1"/>
  <c r="AJ88" i="18"/>
  <c r="AF89" i="18"/>
  <c r="AH89" i="18"/>
  <c r="AI89" i="18"/>
  <c r="AK89" i="18" s="1"/>
  <c r="AJ89" i="18"/>
  <c r="AF90" i="18"/>
  <c r="AH90" i="18"/>
  <c r="AI90" i="18"/>
  <c r="AK90" i="18" s="1"/>
  <c r="AJ90" i="18"/>
  <c r="AF91" i="18"/>
  <c r="AH91" i="18"/>
  <c r="AI91" i="18"/>
  <c r="AK91" i="18" s="1"/>
  <c r="AJ91" i="18"/>
  <c r="AF92" i="18"/>
  <c r="AH92" i="18"/>
  <c r="AI92" i="18"/>
  <c r="AK92" i="18" s="1"/>
  <c r="AJ92" i="18"/>
  <c r="AF93" i="18"/>
  <c r="AH93" i="18"/>
  <c r="AI93" i="18"/>
  <c r="AK93" i="18" s="1"/>
  <c r="AJ93" i="18"/>
  <c r="AF94" i="18"/>
  <c r="AH94" i="18"/>
  <c r="AI94" i="18"/>
  <c r="AK94" i="18" s="1"/>
  <c r="AJ94" i="18"/>
  <c r="AF95" i="18"/>
  <c r="AH95" i="18"/>
  <c r="AI95" i="18"/>
  <c r="AK95" i="18" s="1"/>
  <c r="AJ95" i="18"/>
  <c r="AF96" i="18"/>
  <c r="AH96" i="18"/>
  <c r="AI96" i="18"/>
  <c r="AK96" i="18" s="1"/>
  <c r="AJ96" i="18"/>
  <c r="AF97" i="18"/>
  <c r="AH97" i="18"/>
  <c r="AI97" i="18"/>
  <c r="AK97" i="18" s="1"/>
  <c r="AJ97" i="18"/>
  <c r="AF98" i="18"/>
  <c r="AH98" i="18"/>
  <c r="AI98" i="18"/>
  <c r="AK98" i="18" s="1"/>
  <c r="AJ98" i="18"/>
  <c r="AF99" i="18"/>
  <c r="AH99" i="18"/>
  <c r="AI99" i="18"/>
  <c r="AK99" i="18" s="1"/>
  <c r="AJ99" i="18"/>
  <c r="AF100" i="18"/>
  <c r="AH100" i="18"/>
  <c r="AI100" i="18"/>
  <c r="AK100" i="18" s="1"/>
  <c r="AJ100" i="18"/>
  <c r="AF101" i="18"/>
  <c r="AH101" i="18"/>
  <c r="AI101" i="18"/>
  <c r="AK101" i="18" s="1"/>
  <c r="AJ101" i="18"/>
  <c r="AF102" i="18"/>
  <c r="AH102" i="18"/>
  <c r="AI102" i="18"/>
  <c r="AK102" i="18" s="1"/>
  <c r="AJ102" i="18"/>
  <c r="AF103" i="18"/>
  <c r="AH103" i="18"/>
  <c r="AI103" i="18"/>
  <c r="AK103" i="18" s="1"/>
  <c r="AJ103" i="18"/>
  <c r="F12" i="18"/>
  <c r="F14" i="18" l="1"/>
  <c r="F13" i="18"/>
  <c r="F11" i="18"/>
  <c r="F10" i="18"/>
  <c r="F4" i="18"/>
  <c r="AD32" i="3" l="1"/>
  <c r="Q31" i="3"/>
  <c r="R31" i="3" s="1"/>
  <c r="H31" i="3"/>
  <c r="M31" i="3" s="1"/>
  <c r="Q30" i="3"/>
  <c r="N30" i="3" s="1"/>
  <c r="H30" i="3"/>
  <c r="K30" i="3" s="1"/>
  <c r="Q29" i="3"/>
  <c r="R29" i="3" s="1"/>
  <c r="H29" i="3"/>
  <c r="M29" i="3" s="1"/>
  <c r="Q28" i="3"/>
  <c r="N28" i="3" s="1"/>
  <c r="H28" i="3"/>
  <c r="K28" i="3" s="1"/>
  <c r="Q27" i="3"/>
  <c r="R27" i="3" s="1"/>
  <c r="H27" i="3"/>
  <c r="M27" i="3" s="1"/>
  <c r="Q26" i="3"/>
  <c r="N26" i="3" s="1"/>
  <c r="H26" i="3"/>
  <c r="K26" i="3" s="1"/>
  <c r="Q25" i="3"/>
  <c r="R25" i="3" s="1"/>
  <c r="H25" i="3"/>
  <c r="M25" i="3" s="1"/>
  <c r="Q24" i="3"/>
  <c r="R24" i="3" s="1"/>
  <c r="H24" i="3"/>
  <c r="M24" i="3" s="1"/>
  <c r="Q23" i="3"/>
  <c r="R23" i="3" s="1"/>
  <c r="N23" i="3"/>
  <c r="H23" i="3"/>
  <c r="M23" i="3" s="1"/>
  <c r="R22" i="3"/>
  <c r="Q22" i="3"/>
  <c r="N22" i="3" s="1"/>
  <c r="M22" i="3"/>
  <c r="K22" i="3"/>
  <c r="H22" i="3"/>
  <c r="Q21" i="3"/>
  <c r="R21" i="3" s="1"/>
  <c r="H21" i="3"/>
  <c r="M21" i="3" s="1"/>
  <c r="Q20" i="3"/>
  <c r="N20" i="3" s="1"/>
  <c r="H20" i="3"/>
  <c r="K20" i="3" s="1"/>
  <c r="Q19" i="3"/>
  <c r="R19" i="3" s="1"/>
  <c r="H19" i="3"/>
  <c r="M19" i="3" s="1"/>
  <c r="Q18" i="3"/>
  <c r="R18" i="3" s="1"/>
  <c r="H18" i="3"/>
  <c r="M18" i="3" s="1"/>
  <c r="Q17" i="3"/>
  <c r="R17" i="3" s="1"/>
  <c r="H17" i="3"/>
  <c r="M17" i="3" s="1"/>
  <c r="Q16" i="3"/>
  <c r="R16" i="3" s="1"/>
  <c r="H16" i="3"/>
  <c r="M16" i="3" s="1"/>
  <c r="Q15" i="3"/>
  <c r="R15" i="3" s="1"/>
  <c r="H15" i="3"/>
  <c r="M15" i="3" s="1"/>
  <c r="Q14" i="3"/>
  <c r="R14" i="3" s="1"/>
  <c r="H14" i="3"/>
  <c r="M14" i="3" s="1"/>
  <c r="Q13" i="3"/>
  <c r="R13" i="3" s="1"/>
  <c r="N13" i="3"/>
  <c r="H13" i="3"/>
  <c r="M13" i="3" s="1"/>
  <c r="Q12" i="3"/>
  <c r="R12" i="3" s="1"/>
  <c r="H12" i="3"/>
  <c r="M12" i="3" s="1"/>
  <c r="Q11" i="3"/>
  <c r="R11" i="3" s="1"/>
  <c r="H11" i="3"/>
  <c r="M11" i="3" s="1"/>
  <c r="Q10" i="3"/>
  <c r="R10" i="3" s="1"/>
  <c r="H10" i="3"/>
  <c r="K10" i="3" s="1"/>
  <c r="Q9" i="3"/>
  <c r="R9" i="3" s="1"/>
  <c r="H9" i="3"/>
  <c r="M9" i="3" s="1"/>
  <c r="Q8" i="3"/>
  <c r="R8" i="3" s="1"/>
  <c r="H8" i="3"/>
  <c r="M8" i="3" s="1"/>
  <c r="Q7" i="3"/>
  <c r="R7" i="3" s="1"/>
  <c r="H7" i="3"/>
  <c r="M7" i="3" s="1"/>
  <c r="Q6" i="3"/>
  <c r="N6" i="3" s="1"/>
  <c r="H6" i="3"/>
  <c r="M6" i="3" s="1"/>
  <c r="Q5" i="3"/>
  <c r="R5" i="3" s="1"/>
  <c r="H5" i="3"/>
  <c r="M5" i="3" s="1"/>
  <c r="R6" i="3" l="1"/>
  <c r="R20" i="3"/>
  <c r="N10" i="3"/>
  <c r="N5" i="3"/>
  <c r="N11" i="3"/>
  <c r="K14" i="3"/>
  <c r="N14" i="3"/>
  <c r="K12" i="3"/>
  <c r="M20" i="3"/>
  <c r="N7" i="3"/>
  <c r="K18" i="3"/>
  <c r="N18" i="3"/>
  <c r="N19" i="3"/>
  <c r="K8" i="3"/>
  <c r="K24" i="3"/>
  <c r="N8" i="3"/>
  <c r="M10" i="3"/>
  <c r="N17" i="3"/>
  <c r="N24" i="3"/>
  <c r="M26" i="3"/>
  <c r="M28" i="3"/>
  <c r="M30" i="3"/>
  <c r="N12" i="3"/>
  <c r="K16" i="3"/>
  <c r="N21" i="3"/>
  <c r="R26" i="3"/>
  <c r="R28" i="3"/>
  <c r="R30" i="3"/>
  <c r="N9" i="3"/>
  <c r="N16" i="3"/>
  <c r="N25" i="3"/>
  <c r="N27" i="3"/>
  <c r="N29" i="3"/>
  <c r="N31" i="3"/>
  <c r="K6" i="3"/>
  <c r="N15" i="3"/>
  <c r="Q32" i="3"/>
  <c r="K5" i="3"/>
  <c r="K7" i="3"/>
  <c r="K9" i="3"/>
  <c r="K11" i="3"/>
  <c r="K13" i="3"/>
  <c r="K15" i="3"/>
  <c r="K17" i="3"/>
  <c r="K19" i="3"/>
  <c r="K21" i="3"/>
  <c r="K23" i="3"/>
  <c r="K25" i="3"/>
  <c r="K27" i="3"/>
  <c r="K29" i="3"/>
  <c r="K31" i="3"/>
  <c r="R32" i="3" l="1"/>
  <c r="N32" i="3"/>
  <c r="M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L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User:หัวข้อในการติดตามลูกค้า เชน แจ้งโปรโมชั่น / สอบถามการซื้อ / ติดต่อไม่ได้/ไม่รับสาย</t>
        </r>
      </text>
    </comment>
    <comment ref="H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ระบุ : วัตถุประสงค์ที่ติดต่อลูกค้า</t>
        </r>
      </text>
    </comment>
    <comment ref="J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Windows User
ปิดเครื่อง/ ไม่รับสาย / ไม่มีสัญญาณ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U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ระบุ หมู่บ้าน หมู่ที่ ตำบล อำเภอ เพื่อง่ายต่อการค้นหา และติดตามค่ะ</t>
        </r>
      </text>
    </comment>
  </commentList>
</comments>
</file>

<file path=xl/sharedStrings.xml><?xml version="1.0" encoding="utf-8"?>
<sst xmlns="http://schemas.openxmlformats.org/spreadsheetml/2006/main" count="1752" uniqueCount="592">
  <si>
    <t>รายงานการติดตามลูกค้าประจำวัน ( Call/Visit Follow up Form )</t>
  </si>
  <si>
    <t>วันที่</t>
  </si>
  <si>
    <t>ชื่อพนักงาน</t>
  </si>
  <si>
    <t>รหัสพนักงาน</t>
  </si>
  <si>
    <t>ลำดับที่</t>
  </si>
  <si>
    <t>หมายเลขสมาชิก</t>
  </si>
  <si>
    <t>ชื่อบริษัท-ชื่อเจ้าของกิจการ</t>
  </si>
  <si>
    <t>ที่อยู่  (หมู่ที่/ตำบล/อำเภอ/จังหวัด)</t>
  </si>
  <si>
    <t xml:space="preserve">  เบอร์โทรศัพท์</t>
  </si>
  <si>
    <t>กลุ่มลูกค้า</t>
  </si>
  <si>
    <t>ติดต่อ</t>
  </si>
  <si>
    <t>หมายเหตุ</t>
  </si>
  <si>
    <t>No.</t>
  </si>
  <si>
    <t>Member card</t>
  </si>
  <si>
    <t>Company Name</t>
  </si>
  <si>
    <t>Address</t>
  </si>
  <si>
    <t>Telephone</t>
  </si>
  <si>
    <t>ประเภท 4</t>
  </si>
  <si>
    <t>ได้</t>
  </si>
  <si>
    <t>ไม่ได้</t>
  </si>
  <si>
    <t>Remark</t>
  </si>
  <si>
    <t>* กรุณาลงบันทึกรายละเอียดลูกค้าทุกราย และข้อมูลให้ครบถ้วน</t>
  </si>
  <si>
    <t>(ผู้ตรวจสอบ M1/M2/M3/M4 Duty Mgr.)</t>
  </si>
  <si>
    <t>แบบฟอร์มการติดตามลูกค้า (Call/Visit Form)</t>
  </si>
  <si>
    <t>สาขา</t>
  </si>
  <si>
    <t>ผู้ตรวจสอบ</t>
  </si>
  <si>
    <t>วัน/เดือน/ปี</t>
  </si>
  <si>
    <t>หมายเลขบัตรสมาชิก</t>
  </si>
  <si>
    <t>ชื่อ นามสกุล</t>
  </si>
  <si>
    <t>ชื่อกิจการ</t>
  </si>
  <si>
    <t>พื้นที่ (ตำบล/อำเภอ)</t>
  </si>
  <si>
    <t>ลูกค้า เก่า/ใหม่</t>
  </si>
  <si>
    <t>เจ้าหน้าที่ B2B</t>
  </si>
  <si>
    <t>M1/M2/DUTY STORE</t>
  </si>
  <si>
    <t>ดูจาก Sheet Customer Struture</t>
  </si>
  <si>
    <t>จำเป็น</t>
  </si>
  <si>
    <t>จำเป็น GPS Location</t>
  </si>
  <si>
    <t>**ห้ามแก้ไขเปลี่ยนแปลงข้อมูล**</t>
  </si>
  <si>
    <t>ลำดับ</t>
  </si>
  <si>
    <t>รหัสสาขา</t>
  </si>
  <si>
    <t>ชื่อสาขา</t>
  </si>
  <si>
    <t>หมายเลขบัตรสมาชิก BIGCARD (16หลัก)</t>
  </si>
  <si>
    <t>จำนวนอักษร</t>
  </si>
  <si>
    <t>หมายเลขบัตร ประชาชน</t>
  </si>
  <si>
    <t>ชื่อ นามสกุล ผู้ถือบัตร</t>
  </si>
  <si>
    <t>โทรศัพท์
(ผูกกับ
บัตร BIG CARD)</t>
  </si>
  <si>
    <t>กลุ่มลูกค้า
ประเภท 2</t>
  </si>
  <si>
    <t>กลุ่มลูกค้า
ประเภท 3</t>
  </si>
  <si>
    <t>กลุ่มลูกค้า
ประเภท 4</t>
  </si>
  <si>
    <t>ระยะทาง</t>
  </si>
  <si>
    <t>ประมาณการซื้อ/เดือน</t>
  </si>
  <si>
    <t>ชื่อผู้ชื้อ</t>
  </si>
  <si>
    <t>เบอร์ผู้ซื้อ / ติดต่อ</t>
  </si>
  <si>
    <t>ลูกค้าเก่า/ใหม่</t>
  </si>
  <si>
    <t>ผู้ทำการสำรวจ</t>
  </si>
  <si>
    <t>วิธีการเข้าหาลูกค้า</t>
  </si>
  <si>
    <t>เลขที่/หมู่บ้าน
/หมู่/ถนน</t>
  </si>
  <si>
    <t>ตำบล</t>
  </si>
  <si>
    <t>อำเภอ</t>
  </si>
  <si>
    <t>จังหวัด</t>
  </si>
  <si>
    <t>ละติจูด</t>
  </si>
  <si>
    <t>ลองติจูด</t>
  </si>
  <si>
    <t>พฤติกรรมการซื้อ</t>
  </si>
  <si>
    <t>ความถี่</t>
  </si>
  <si>
    <t>ช่องทางขาย</t>
  </si>
  <si>
    <t>วันเกิดลูกค้า</t>
  </si>
  <si>
    <t>BIGC</t>
  </si>
  <si>
    <t>LEVEL 2</t>
  </si>
  <si>
    <t>LEVEL 3</t>
  </si>
  <si>
    <t>LEVEL 4</t>
  </si>
  <si>
    <t>H/F</t>
  </si>
  <si>
    <t>11111</t>
  </si>
  <si>
    <t>Bangkok</t>
  </si>
  <si>
    <t>1115111111111111</t>
  </si>
  <si>
    <t>1111111111111</t>
  </si>
  <si>
    <t>คุณสีแดง ชอบสีเขียว</t>
  </si>
  <si>
    <t>ร้านข้าวราดแกงสีชมพู</t>
  </si>
  <si>
    <t>0999999999</t>
  </si>
  <si>
    <t>8 HoReCa</t>
  </si>
  <si>
    <t>82 Restaurant</t>
  </si>
  <si>
    <t>8212 ร้านอาหารประเภทก๋วยเตี๋ยว/ผ้ดไท/ราดหน้า/ก๋วยจั๊บ</t>
  </si>
  <si>
    <t>3 กม.</t>
  </si>
  <si>
    <t>คุณณัฐพล อินต๊ะวิกุล</t>
  </si>
  <si>
    <t>0930209678</t>
  </si>
  <si>
    <t>เก่า</t>
  </si>
  <si>
    <t>Sale Horeca</t>
  </si>
  <si>
    <t>walk in</t>
  </si>
  <si>
    <t>ตลาดไฟฟ้า</t>
  </si>
  <si>
    <t>เสม็ด</t>
  </si>
  <si>
    <t>เมือง</t>
  </si>
  <si>
    <t>ชลบุรี</t>
  </si>
  <si>
    <t>13.3312831</t>
  </si>
  <si>
    <t>100.942641</t>
  </si>
  <si>
    <t>สันคอหมู ไก่ หนังหมูซอย เครื่องปรุง</t>
  </si>
  <si>
    <t>5ครั้ง/เดือน</t>
  </si>
  <si>
    <t>Line&amp;Telephone</t>
  </si>
  <si>
    <t>1 ม.ค. 2499</t>
  </si>
  <si>
    <t>ประเภทบัตรสมาชิก</t>
  </si>
  <si>
    <t>ประเภท B2B</t>
  </si>
  <si>
    <t>กลุ่ม</t>
  </si>
  <si>
    <t>BIGC - BIGCARD</t>
  </si>
  <si>
    <t>6 : Food Retailer</t>
  </si>
  <si>
    <t>61 : Street Shop</t>
  </si>
  <si>
    <t>6101 : ร้าน/แผงลอย ผัก/ผลไม้/แปรรูปจากผัก ผลไม้</t>
  </si>
  <si>
    <t>6</t>
  </si>
  <si>
    <t>61</t>
  </si>
  <si>
    <t>6101</t>
  </si>
  <si>
    <t>Wholesale</t>
  </si>
  <si>
    <t>DONJAI 1</t>
  </si>
  <si>
    <t>6102 : ร้าน/แผงลอย เนื้อสัตว์/แปรรูปจากเนื้อสัตว์</t>
  </si>
  <si>
    <t>6102</t>
  </si>
  <si>
    <t>6103 : ร้านค้าอาหารแช่แข็ง/แช่เย็น</t>
  </si>
  <si>
    <t>6103</t>
  </si>
  <si>
    <t>62 : SME-Grocery shop</t>
  </si>
  <si>
    <t>6201 : ร้านชำ/แผงขายชำ ขนาดน้อยกว่า 200ตรม.</t>
  </si>
  <si>
    <t>62</t>
  </si>
  <si>
    <t>6201</t>
  </si>
  <si>
    <t>6202 : ร้านขายยา และ เครื่องสำอาง</t>
  </si>
  <si>
    <t>6202</t>
  </si>
  <si>
    <t>6203 : ร้านขายอาหาร ยาสัตว์ อุปกรณ์ และของใช้เกี่ยวกับสัตว์เลี้ยง</t>
  </si>
  <si>
    <t>6203</t>
  </si>
  <si>
    <t>6204 : ร้านมินิมาร์ท มีกระจกหน้าร้าน มี/ไม่มีแอร์ มีเคาน์เตอร์และชั้นเรียง</t>
  </si>
  <si>
    <t>6204</t>
  </si>
  <si>
    <t>6205 : ซุปเปอร์มาร์เก็ต ขนาดมากกว่า 200ตรม. มีกระจก มีแอร์ มีเคาน์เตอร์ และรถเข็น</t>
  </si>
  <si>
    <t>6205</t>
  </si>
  <si>
    <t>6206 : ร้านค้าปลีกสินค้าบริโภค / อาหารสด ในรูปแบบรถเร่</t>
  </si>
  <si>
    <t>6206</t>
  </si>
  <si>
    <t>6207 : ร้านค้าปลีกสินค้าบริโภคอื่นๆ/ ร้านโอท็อป-ของฝากสินค้าบริโภค</t>
  </si>
  <si>
    <t>6207</t>
  </si>
  <si>
    <t>63 : Retailer RDS</t>
  </si>
  <si>
    <t>6301 : ร้านค้าโชว์ห่วย RDS</t>
  </si>
  <si>
    <t>63</t>
  </si>
  <si>
    <t>6301</t>
  </si>
  <si>
    <t>7 : Non Food Retailer</t>
  </si>
  <si>
    <t>71 : Business User</t>
  </si>
  <si>
    <t>7101 : ร้านขายมอเตอร์ไซต์/อะไหล่/ซ่อม</t>
  </si>
  <si>
    <t>7</t>
  </si>
  <si>
    <t>71</t>
  </si>
  <si>
    <t>7101</t>
  </si>
  <si>
    <t>7102 : ร้านขายจักรยาน/อะไหล่/ซ่อม</t>
  </si>
  <si>
    <t>7102</t>
  </si>
  <si>
    <t>7103 : ร้าน โชว์รูมขายรถยนต์/ประดับยนต์</t>
  </si>
  <si>
    <t>7103</t>
  </si>
  <si>
    <t>7104 : ร้านขายอุปกรณ์ก่อสร้าง</t>
  </si>
  <si>
    <t>7104</t>
  </si>
  <si>
    <t>7105 : ร้านขายเสื้อผ้าเย็บปัก</t>
  </si>
  <si>
    <t>7105</t>
  </si>
  <si>
    <t>7106 : ร้านเพชรทอง</t>
  </si>
  <si>
    <t>7106</t>
  </si>
  <si>
    <t>72 : SME-Non food shop</t>
  </si>
  <si>
    <t>7201 : ร้านขายเครื่องเขียน อุปกรณ์การเรียน</t>
  </si>
  <si>
    <t>72</t>
  </si>
  <si>
    <t>7201</t>
  </si>
  <si>
    <t>7202 : ร้านขายอุปกรณ์ และเครื่องใช้สำนักงาน ขายคอมพิวเตอร์</t>
  </si>
  <si>
    <t>7202</t>
  </si>
  <si>
    <t>7203 : ร้านขายเครื่องใช้ไฟฟ้า</t>
  </si>
  <si>
    <t>7203</t>
  </si>
  <si>
    <t>7204 : ร้านขายสินค้าอุปโภค ในรูแบบรถเร่</t>
  </si>
  <si>
    <t>7204</t>
  </si>
  <si>
    <t>7205 : ร้านค้าปลีกสินค้าบริโภคอื่นๆ / ร้านโอท็อป- ของฝากสินค้าอุปโภค/ร้านสังฆภัณฑ์</t>
  </si>
  <si>
    <t>7205</t>
  </si>
  <si>
    <t>7206 : ร้านขายเฟอร์นิเจอร์เครื่องนอน</t>
  </si>
  <si>
    <t>7206</t>
  </si>
  <si>
    <t>7207 : ร้านขายโฟม ถุงพลาสติก ยาง หลอด บรรจุภัณฑ์</t>
  </si>
  <si>
    <t>7207</t>
  </si>
  <si>
    <t>7208 : ร้านขายอุปโภคอื่นๆ</t>
  </si>
  <si>
    <t>7208</t>
  </si>
  <si>
    <t>7209 : ร้านขายปุ๋ย/สินค้าเกี่ยวกับการเกษตร/ผลิตภัณฑ์การเกษตร</t>
  </si>
  <si>
    <t>7209</t>
  </si>
  <si>
    <t>8 : HoReCa</t>
  </si>
  <si>
    <t>81 : Hotel</t>
  </si>
  <si>
    <t>8101 : อพาร์ทเมนท์ / หอพัก</t>
  </si>
  <si>
    <t>8</t>
  </si>
  <si>
    <t>81</t>
  </si>
  <si>
    <t>8101</t>
  </si>
  <si>
    <t>Food Service</t>
  </si>
  <si>
    <t>8102 : โรงแรม/รีสอร์ต 1 ดาว</t>
  </si>
  <si>
    <t>8102</t>
  </si>
  <si>
    <t>8103 : โรงแรม/รีสอร์ต 2-3 ดาว</t>
  </si>
  <si>
    <t>8103</t>
  </si>
  <si>
    <t>8104 : โรงแรม/รีสอร์ต 4-5 ดาว</t>
  </si>
  <si>
    <t>8104</t>
  </si>
  <si>
    <t>82 : Restaurant</t>
  </si>
  <si>
    <t>8201 : ร้านอาหารไทย</t>
  </si>
  <si>
    <t>82</t>
  </si>
  <si>
    <t>8201</t>
  </si>
  <si>
    <t>8202 : ร้านอาหารอีสาน</t>
  </si>
  <si>
    <t>8202</t>
  </si>
  <si>
    <t>8203 : ร้านอาหารจีน</t>
  </si>
  <si>
    <t>8203</t>
  </si>
  <si>
    <t>8204 : ร้านอาหารเวียดนาม</t>
  </si>
  <si>
    <t>8204</t>
  </si>
  <si>
    <t>8205 : ร้านอาหารญี่ปุ่น</t>
  </si>
  <si>
    <t>8205</t>
  </si>
  <si>
    <t>8206 : ร้านอาหารเกาหลี</t>
  </si>
  <si>
    <t>8206</t>
  </si>
  <si>
    <t>8207 : ร้านอาหารอินเดีย</t>
  </si>
  <si>
    <t>8207</t>
  </si>
  <si>
    <t>8208 : ร้านอาหารมุสลิม</t>
  </si>
  <si>
    <t>8208</t>
  </si>
  <si>
    <t>8209 : ร้านอาหารตะวันตก อาทิ สเต๊ก/อเมริกัน/อิตาเลี่ยน/แม็กซิกัน/อิสราเอล/ฝรั่งเศส</t>
  </si>
  <si>
    <t>8209</t>
  </si>
  <si>
    <t>8210 : ร้านหมูกระทะ/บาร์บีคิว/สุกี้/เนื้อย่าง/ชาบู</t>
  </si>
  <si>
    <t>8210</t>
  </si>
  <si>
    <t>8211 : ร้านอาหารตามสั่ง</t>
  </si>
  <si>
    <t>8211</t>
  </si>
  <si>
    <t>8212 : ร้านอาหารประเภทก๋วยเตี๋ยว/ผ้ดไท/ราดหน้า/ก๋วยจั๊บ</t>
  </si>
  <si>
    <t>8212</t>
  </si>
  <si>
    <t>8213 : ร้านอาหารจานหลัก อาทิ ข้าวมันไก่-ข้าวขาหมู-หน้าเป็ด</t>
  </si>
  <si>
    <t>8213</t>
  </si>
  <si>
    <t xml:space="preserve">8214 : ร้านอาหาร อาทิ อาหารลาว / กัมพูชา / พม่า </t>
  </si>
  <si>
    <t>8214</t>
  </si>
  <si>
    <t>8215 : ร้านขายโจ้ก/ ต้มเลือดหมู</t>
  </si>
  <si>
    <t>8215</t>
  </si>
  <si>
    <t>8216 : ร้าน-รถเข็นขายข้าวแกงกลางเหนือใต้/ตามสั่ง/กับข้าว/แกงถุง</t>
  </si>
  <si>
    <t>8216</t>
  </si>
  <si>
    <t>8217 : รถเข็นขายอาหารประเภทอื่นๆ ผลไม้ดอง/ขนม /ปาท่องโก๋/ขนมครก/ข้าวถ้วย</t>
  </si>
  <si>
    <t>8217</t>
  </si>
  <si>
    <t>8218 : ร้าน-รถเข็น ไก่ทอด/หมูทอด/หมูปิ้ง/ไก่ปิ้ง/ลูกชิ้น</t>
  </si>
  <si>
    <t>8218</t>
  </si>
  <si>
    <t>83 : Catering</t>
  </si>
  <si>
    <t>8301 : ธุรกิจจัดเลี้ยง โต๊ะจีน</t>
  </si>
  <si>
    <t>83</t>
  </si>
  <si>
    <t>8301</t>
  </si>
  <si>
    <t>84 : Food Chain</t>
  </si>
  <si>
    <t>8401 : ร้านอาหารฟาสต์ฟู้ด(อาหารคาว) แบบมีสาขา</t>
  </si>
  <si>
    <t>84</t>
  </si>
  <si>
    <t>8401</t>
  </si>
  <si>
    <t>8402 : ร้านอาหารฟาสต์ฟู้ด(อาหารว่าง/ไอศกรีม )แบบมีสาขา</t>
  </si>
  <si>
    <t>8402</t>
  </si>
  <si>
    <t>85 : Cafe &amp; Coffee</t>
  </si>
  <si>
    <t>8501 : ร้านเบเกอร์รี่</t>
  </si>
  <si>
    <t>85</t>
  </si>
  <si>
    <t>8501</t>
  </si>
  <si>
    <t>8502 : ร้าน-รถเข็นขายกาแฟ/น้ำปั่น/น้ำผลไม้/ชานมไข่มุก</t>
  </si>
  <si>
    <t>8502</t>
  </si>
  <si>
    <t>8503 : ร้านขายอาหารประเภทอื่นๆ อาทิ ร้านขายขนม/ร้านขายไอศครีม</t>
  </si>
  <si>
    <t>8503</t>
  </si>
  <si>
    <t>86 : Entertainment</t>
  </si>
  <si>
    <t>8601 : สถานบันเทิง ผับ/บาร์/คาราโอเกะ/อาบอบนวด</t>
  </si>
  <si>
    <t>86</t>
  </si>
  <si>
    <t>8601</t>
  </si>
  <si>
    <t>9 : Services</t>
  </si>
  <si>
    <t>91 : Service business</t>
  </si>
  <si>
    <t>9101 : ร้านเสริมสวย/ทำผม</t>
  </si>
  <si>
    <t>9</t>
  </si>
  <si>
    <t>91</t>
  </si>
  <si>
    <t>9101</t>
  </si>
  <si>
    <t>B2B</t>
  </si>
  <si>
    <t>9102 : ร้านสปา /  บริการนวด</t>
  </si>
  <si>
    <t>9102</t>
  </si>
  <si>
    <t>9103 : ร้านซักอบรีด</t>
  </si>
  <si>
    <t>9103</t>
  </si>
  <si>
    <t>9104 : ร้านถ่ายรูป/ถ่าย เอกสาร</t>
  </si>
  <si>
    <t>9104</t>
  </si>
  <si>
    <t>9105 : ธุรกิจจัดการท่องเที่ยว/ทัวร์/สายการบิน</t>
  </si>
  <si>
    <t>9105</t>
  </si>
  <si>
    <t>9106 : ร้านให้บริการดูแลสัตว์เลี้ยง/คลีนิคสัตว์</t>
  </si>
  <si>
    <t>9106</t>
  </si>
  <si>
    <t>9107 : ธุรกิจบริการอื่นๆ อู่ซ่อมรถ/ทำเบาะ/โรงกลึง/เหล็กตัด/ปั๊มน้ำมัน/ตัดเสื้อ/โรงพิมพ์/ธุรกิจก่อสร้าง/ซ่อมเครื่องใช้ไฟฟ้า</t>
  </si>
  <si>
    <t>9107</t>
  </si>
  <si>
    <t>92 : Organization</t>
  </si>
  <si>
    <t>9201 : สถานพยาบาล (โรงพยาบาล/อนามัย/คลินิก)</t>
  </si>
  <si>
    <t>92</t>
  </si>
  <si>
    <t>9201</t>
  </si>
  <si>
    <t>9202 : สำนักงานหน่วยราชการ/รัฐวิสาหกิจ</t>
  </si>
  <si>
    <t>9202</t>
  </si>
  <si>
    <t>9203 : วัด/สุเหร่า/โบสถ์</t>
  </si>
  <si>
    <t>9203</t>
  </si>
  <si>
    <t>9204 : โรงเรียน/วิทยาลัย</t>
  </si>
  <si>
    <t>9204</t>
  </si>
  <si>
    <t>9205 : มหาวิทยาลัย (ปริญญาตรี /โท/เอก )</t>
  </si>
  <si>
    <t>9205</t>
  </si>
  <si>
    <t>9206 : มูลนิธิ/สมาคม/โรตารี่</t>
  </si>
  <si>
    <t>9206</t>
  </si>
  <si>
    <t>93 : Company</t>
  </si>
  <si>
    <t>9301 : สำนักงานเอกชน</t>
  </si>
  <si>
    <t>93</t>
  </si>
  <si>
    <t>9301</t>
  </si>
  <si>
    <t>9302 : สถาบันการศึกษาในรูปแบบอื่นๆ อาทิ  สถาบันกวดวิชา /สอนภาษา/วิชาชีพ</t>
  </si>
  <si>
    <t>9302</t>
  </si>
  <si>
    <t>9303 : ธุรกิจในเครือหรือบริษัทฯที่เกี่ยวข้องในกลุ่ม ทีซีซี</t>
  </si>
  <si>
    <t>9303</t>
  </si>
  <si>
    <t>9304 : สถาบันการเงิน / สถานฑูต / ศูนย์ศิลปาชีพ / ธนาคาร / สหกรณ์เครดิตยูเนียน</t>
  </si>
  <si>
    <t>9304</t>
  </si>
  <si>
    <t>9305 : คาร์แคร์</t>
  </si>
  <si>
    <t>9305</t>
  </si>
  <si>
    <t>94 : Manufacturing</t>
  </si>
  <si>
    <t>9401 : โรงงานผลิต/แปรรูป สินค้าบริโภคแห้ง สด/อุปโภค</t>
  </si>
  <si>
    <t>94</t>
  </si>
  <si>
    <t>9401</t>
  </si>
  <si>
    <t>10 : Distributor</t>
  </si>
  <si>
    <t>101 : Food</t>
  </si>
  <si>
    <t>1011 : ร้านค้าส่ง/ยี่ปั๊ว สินค้าบริโภค</t>
  </si>
  <si>
    <t>10</t>
  </si>
  <si>
    <t>101</t>
  </si>
  <si>
    <t>1011</t>
  </si>
  <si>
    <t>1012 : ร้านค้าส่ง/ยี่ปั๊ว สินค้าอาหารสด</t>
  </si>
  <si>
    <t>1012</t>
  </si>
  <si>
    <t>1013 : ร้านค้าส่ง/ยี่ปั๊ว สินค้าบริโภค/อุปโภค</t>
  </si>
  <si>
    <t>1013</t>
  </si>
  <si>
    <t>1014 : ร้านค้าส่ง/ยี่ปั๊ว สินค้าเครื่องดื่มแอลกอฮอลล์/บุหรี่</t>
  </si>
  <si>
    <t>1014</t>
  </si>
  <si>
    <t>1015 : ร้านค้าส่ง/ยี่ปั๊ว สินค้าอาหารแช่แข็ง/เย็น</t>
  </si>
  <si>
    <t>1015</t>
  </si>
  <si>
    <t>102 : Non Food</t>
  </si>
  <si>
    <t>1021 : ร้านค้าส่ง/ยี่ปั๊ว สินค้าอุปโภค/เครื่องใช้ไฟฟ้า</t>
  </si>
  <si>
    <t>102</t>
  </si>
  <si>
    <t>1021</t>
  </si>
  <si>
    <t>103 : Import&amp;Export</t>
  </si>
  <si>
    <t>1031 : ผู้ประกอบการธุรกิจส่งออก (ซื้อสินค้าเพื่อจำหน่ายไปยังต่างประเทศ)</t>
  </si>
  <si>
    <t>103</t>
  </si>
  <si>
    <t>1031</t>
  </si>
  <si>
    <t>11 : Corporate</t>
  </si>
  <si>
    <t>111 : Corporate Group</t>
  </si>
  <si>
    <t>1111 : ธุรกิจในเครือหรือบริษัทฯที่เกี่ยวข้องในกลุ่ม ทีซีซี</t>
  </si>
  <si>
    <t>11</t>
  </si>
  <si>
    <t>111</t>
  </si>
  <si>
    <t>1111</t>
  </si>
  <si>
    <t>1112 : ผู้ประกอบการธุรกิจส่งออกในกลุ่ม ทีซีซี (ซื้อสินค้าเพื่อจำหน่ายไปยังต่างประเทศ)</t>
  </si>
  <si>
    <t>1112</t>
  </si>
  <si>
    <t>1113 : ธุรกิจหรือบริษัทฯนอกกลุ่ม ทีซีซี</t>
  </si>
  <si>
    <t>1113</t>
  </si>
  <si>
    <t>1114 : กลุ่มธุรกิจพัฒนาอสังหาริมทรัพย์</t>
  </si>
  <si>
    <t>1114</t>
  </si>
  <si>
    <t>1115 : กลุ่มธุรกิจส่งเสริมการตลาด</t>
  </si>
  <si>
    <t>1115</t>
  </si>
  <si>
    <t xml:space="preserve">1116 : กลุ่มธุรกิจอื่น ๆ </t>
  </si>
  <si>
    <t>1116</t>
  </si>
  <si>
    <t xml:space="preserve">Request B2B Food Retail : </t>
  </si>
  <si>
    <t>Store Request -- &gt; ………11111…โคราช…กิจการ ร้านธงฟ้าประชารัฐ รวยรินทร์ บ้านหนองยาง อ.เฉลิมพระเกียรติ   ชื่อรวยรินทร์  จุฑามณี วันที่ต้องการขาย (10 - 16 ตุลาคม 2561)</t>
  </si>
  <si>
    <t>Store Request</t>
  </si>
  <si>
    <t>Member</t>
  </si>
  <si>
    <t>Buyer Feedback</t>
  </si>
  <si>
    <t>Store Confirm order</t>
  </si>
  <si>
    <t>Store No</t>
  </si>
  <si>
    <t>Dept</t>
  </si>
  <si>
    <t>Article</t>
  </si>
  <si>
    <t>Barcode</t>
  </si>
  <si>
    <t>Description</t>
  </si>
  <si>
    <t>Packsize</t>
  </si>
  <si>
    <t>Avg. Cost price</t>
  </si>
  <si>
    <t>Cost (In_Vat)</t>
  </si>
  <si>
    <t>Normal Price</t>
  </si>
  <si>
    <t>Selling Price B2B FOOD SERVICE PRICE</t>
  </si>
  <si>
    <t>Normal GP%</t>
  </si>
  <si>
    <t>Store Request price</t>
  </si>
  <si>
    <t>GP</t>
  </si>
  <si>
    <t xml:space="preserve">TOTAL GP AMOUNT </t>
  </si>
  <si>
    <t xml:space="preserve">Condition/ Reference </t>
  </si>
  <si>
    <t>Qty/Pack</t>
  </si>
  <si>
    <t>Total Quantity / Kg (จำนวนที่ต้องการขาย)</t>
  </si>
  <si>
    <t>Sales Value ฿</t>
  </si>
  <si>
    <t>Quantity by customer/month</t>
  </si>
  <si>
    <t>กำหนดวันขายสินค้า</t>
  </si>
  <si>
    <t>PO Order เลขที่ใบสั่งซื้อ</t>
  </si>
  <si>
    <t>Delivery Date กำหนดวันสินค้าส่งเข้าสาขา</t>
  </si>
  <si>
    <t>Member No.</t>
  </si>
  <si>
    <t>Member Name</t>
  </si>
  <si>
    <t>Contact Tel.</t>
  </si>
  <si>
    <t>Price Approve</t>
  </si>
  <si>
    <t xml:space="preserve">Disagreed / ( How /  Reason ) </t>
  </si>
  <si>
    <t>Quantity (case)</t>
  </si>
  <si>
    <t>Amt.</t>
  </si>
  <si>
    <t>11111  Korat</t>
  </si>
  <si>
    <t xml:space="preserve">4 DRY FOOD </t>
  </si>
  <si>
    <t>8850456102054</t>
  </si>
  <si>
    <t>น้ำตาลดีเมอเรร่าวังขนาย 1 กก.</t>
  </si>
  <si>
    <t>10 - 15 ตุลาคม 2561</t>
  </si>
  <si>
    <t>1111111101222403</t>
  </si>
  <si>
    <t>คุณรวยนรินทร์  จุฑามณี</t>
  </si>
  <si>
    <t>ร้านรวยรินทร์ (ประชารัฐ)</t>
  </si>
  <si>
    <t>083-1291463</t>
  </si>
  <si>
    <t>8855199143012</t>
  </si>
  <si>
    <t>โค้ก 1.5 ลิตร</t>
  </si>
  <si>
    <t>8850206011025</t>
  </si>
  <si>
    <t>ซีอิ้วขาวสูตร1เด็กสมบูรณ์700ซี(M)</t>
  </si>
  <si>
    <t>in store promotion @34</t>
  </si>
  <si>
    <t>ราคา34.-in storeมีผลถึง10/10/18 เท่านั้น</t>
  </si>
  <si>
    <t>8851932377287</t>
  </si>
  <si>
    <t>บรีส เอกเซล คัลเลอร์ 1900 กรัม</t>
  </si>
  <si>
    <t>B2B price มีผล 18-29/10/61 
ถ้าสามารถอนุมัติให้ขายจะสั่งพร้อมกันทั้งหมดตามรายการที่ขอราคาค่ะ</t>
  </si>
  <si>
    <t>หรือสั่งและรวมVolume ขายได้มากกว่า 10 ลัง ถึงจะได้ราคา 110.-(WSHL)</t>
  </si>
  <si>
    <t>8851932377485</t>
  </si>
  <si>
    <t>บรีส เอกเซล 2000 กรัม.</t>
  </si>
  <si>
    <t>8851932377836</t>
  </si>
  <si>
    <t>บรีส เอกเซล คอมฟอร์ท 1900 ก.</t>
  </si>
  <si>
    <t>8851932380959</t>
  </si>
  <si>
    <t>บรีส คอมฟอร์ท ม่วง 1900 กรัม.</t>
  </si>
  <si>
    <t>8850127063929</t>
  </si>
  <si>
    <t>น้ำดื่มเนสเล่330 มล. แพ็ค 12</t>
  </si>
  <si>
    <t>ลูกค้าขอให้เสนอเพื่อเลือกรายการใดรายการหนึ่ง</t>
  </si>
  <si>
    <t>8851952150808</t>
  </si>
  <si>
    <t>น้ำดื่มคริสตัล  330  ซีซี.  แพ็ค 12</t>
  </si>
  <si>
    <t>8850545777552</t>
  </si>
  <si>
    <t>น้ำปลาแท้ตราทิพรสขวดเพ็ท700CC(M)</t>
  </si>
  <si>
    <t>ขอราคาเท่ากับราคาโปรโมชั่น 5-7 ต.ค.</t>
  </si>
  <si>
    <t>ราคา 24.- Pro. ไทยรัฐ มีผลถึง7/10/18</t>
  </si>
  <si>
    <t>8850423000093</t>
  </si>
  <si>
    <t>น้ำหวานเฮลซ์บลูบอย710ซีซีสละ(M)</t>
  </si>
  <si>
    <t>B2B ราคา 486 / ลัง  ลูกค้าซื้อ</t>
  </si>
  <si>
    <t>หรือสั่งและรวมVolume ขาย      มากกว่า5ลัง&gt;&gt;ราคา498/ลัง มากกว่า10ลัง&gt;&gt;ราคา486/ลัง</t>
  </si>
  <si>
    <t>8851932187428</t>
  </si>
  <si>
    <t>ซันไลต์เลมอนเทอร์โบ 550มล.</t>
  </si>
  <si>
    <t>8851494007523</t>
  </si>
  <si>
    <t>น้ำมันปาร์มเกสร</t>
  </si>
  <si>
    <t>NEW REQUEST</t>
  </si>
  <si>
    <t>8850718701438</t>
  </si>
  <si>
    <t>เลย์แผ่นหยักรสเกลือ 52g</t>
  </si>
  <si>
    <t>8850718701445</t>
  </si>
  <si>
    <t>เลย์หยักรสบาบีคิว52ก</t>
  </si>
  <si>
    <t>8850718701476</t>
  </si>
  <si>
    <t>เลย์แผ่นเรียบรสเกลือ52กรัม</t>
  </si>
  <si>
    <t>8850718701889</t>
  </si>
  <si>
    <t>เลยแผ่นเลยเรียบรสโนริ52ก</t>
  </si>
  <si>
    <t xml:space="preserve">04 DRY FOOD </t>
  </si>
  <si>
    <t>8851932353861</t>
  </si>
  <si>
    <t>ซันซิลแชมพูสีเขียว 450 มล.</t>
  </si>
  <si>
    <t xml:space="preserve">ลูกค้าขอคละสี 
และคละแชมพู กับ ครีมบำรุงผม
รวม  10 ลัง
ขอราคาพิเศษเท่ากับ Big volume </t>
  </si>
  <si>
    <t>หรือสั่งและรวมVolume ขายได้มากกว่า 10 ลัง ถึงจะได้ราคา 69.-(WSHL)</t>
  </si>
  <si>
    <t>8851932353830</t>
  </si>
  <si>
    <t>ซันซิลแชมพูสีชมพู 450 มล.</t>
  </si>
  <si>
    <t>8851932353847</t>
  </si>
  <si>
    <t>ซันซิลแชมพูสีม่วง 450 มล.</t>
  </si>
  <si>
    <t>8851932353854</t>
  </si>
  <si>
    <t>ซันซิลแชมพูสีส้ม 450 มล.</t>
  </si>
  <si>
    <t>8851932353823</t>
  </si>
  <si>
    <t>8851932354295</t>
  </si>
  <si>
    <t>ซันซิลครีมบำรุงผมสีเขียว 450 มล.</t>
  </si>
  <si>
    <t>Big Volume
ซื้อ 120 ขึ้นไป เหลือ 69 บ.</t>
  </si>
  <si>
    <t>8851932354264</t>
  </si>
  <si>
    <t>ซันซิลครีมบำรุงผมสีชมพู 450 มล.</t>
  </si>
  <si>
    <t>8851932354271</t>
  </si>
  <si>
    <t>ซันซิลครีมบำรุงผมสีม่วง 450 มล.</t>
  </si>
  <si>
    <t>8851932354288</t>
  </si>
  <si>
    <t>ซันซิลครีมบำรุงผมสีส้ม 450 มล.</t>
  </si>
  <si>
    <t>8851932354257</t>
  </si>
  <si>
    <t>Total</t>
  </si>
  <si>
    <t>แบบสอบถามสำหรับออกพบลูกค้า</t>
  </si>
  <si>
    <t>ข้อ 1. ท่านเคยใช้บริการในห้างบิ๊กซีหรือไม่</t>
  </si>
  <si>
    <t>ข้อ 4. ท่านซื้อของที่บิ๊กซีบ่อยแค่ไหน</t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</si>
  <si>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เคย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</si>
  <si>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2-3 วัน  / ครั้ง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</si>
  <si>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ไม่เคย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</si>
  <si>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1 อาทิตย์ / ครั้ง</t>
    </r>
  </si>
  <si>
    <t>ข้อ 2.เหตุผลหลักที่ท่านเลือกใช้บริการที่บิ๊กซี (ตอบได้มากกว่า 1 ข้อ)</t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</si>
  <si>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15 วัน / ครั้ง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</si>
  <si>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สินค้ามีหลากหลาย ไม่ต้องไปหลายที่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</si>
  <si>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1 เดือน / ครั้ง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</si>
  <si>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ใกล้ สะดวกในการเดินทาง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</si>
  <si>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อื่นๆ_______________________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</si>
  <si>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สินค้าคุณภาพดี ราคาถูก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</si>
  <si>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ไม่ต้องสต็อกสินค้ามาก</t>
    </r>
  </si>
  <si>
    <t>ในข้ออื่นๆ ส่วนใหญ่แล้วลูกค้าไม่ได้มานานกว่า 1 เดือน</t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</si>
  <si>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 xml:space="preserve">พอใจในการบริการ </t>
    </r>
  </si>
  <si>
    <t>ข้อ 3. ประเภทสินค้าที่ซื้อในบิ๊กซี (ตอบได้มากกว่า 1 ข้อ)</t>
  </si>
  <si>
    <t>ข้อ 5.นอกจากบิ๊กซีแล้ว ท่านซื้อของจากที่ใดบ้าง</t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</si>
  <si>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เครื่องดื่ม (เหล้า เบียร์ น้ำอัดลม)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</si>
  <si>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เทสโก้ โลตัส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</si>
  <si>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อาหารสด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</si>
  <si>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Big C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</si>
  <si>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ขนมขบเคี้ยว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</si>
  <si>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ท็อฟฟี่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</si>
  <si>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เครื่องใช้ไฟฟ้า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</si>
  <si>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น่ำเส็ง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</si>
  <si>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เครื่องใช้สำนักงาน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</si>
  <si>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วงศ์มังกร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</si>
  <si>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เครื่องปรุง/ของใช้ในครัวเรือน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</si>
  <si>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505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</si>
  <si>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หน่วยรถของบริษัท (สหพัฒน์,ยูนิลีเวอร์ หรืออื่นๆ)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</si>
  <si>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ตลาดสด_______________________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</si>
  <si>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ร้านส่ง_______________________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</si>
  <si>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อื่นๆ __________________________</t>
    </r>
  </si>
  <si>
    <t>ข้อ 6.ปัญหาที่พบบ่อยๆในขณะที่มาใช้บริการที่ห้างบิ๊กซี</t>
  </si>
  <si>
    <t>พนักงาน / การบริการ</t>
  </si>
  <si>
    <t>สินค้า</t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</si>
  <si>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 xml:space="preserve">1.แคชเชียร์คิดเงินช้า / มีน้อย 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</si>
  <si>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 xml:space="preserve">1.ป้ายราคาสินค้าไม่ตรง 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</si>
  <si>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2.พนักงานแผนก______________พูดจาไม่สุภาพ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</si>
  <si>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2.สินค้าที่ลงใน Brochure หมดเร็ว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</si>
  <si>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3.พนักงานไม่สนใจลูกค้า/ให้คำตอบไม่ชัดเจน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</si>
  <si>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 xml:space="preserve">3.ราคาสินค้าบางตัวแพง 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</si>
  <si>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 xml:space="preserve">4.ไม่มีพนักงานช่วยยก/เข็นสินค้าขึ้นรถ 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</si>
  <si>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4.สินค้าขาดสต็อกบ่อย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</si>
  <si>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5.แคชเชียร์ไม่แจ้งเรื่องการแถมสินค้า/ส่วนลด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</si>
  <si>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 xml:space="preserve">5.ราคาสินค้าสูงกว่าห้างอื่นๆ 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</si>
  <si>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 xml:space="preserve">6.แคชเชียร์คิดเงินผิด 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</si>
  <si>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6.สินค้าคุณภาพไม่ดี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</si>
  <si>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7.แคชเชียร์จับสินค้าแรง ทำให้เกิดความเสียหาย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</si>
  <si>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7.หาสินค้าไม่ค่อยเจอ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</si>
  <si>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8.ติดต่อซื้อสินค้ามาแล้วไม่ได้ตามที่สั่ง/ได้ช้า/ติดต่อไม่ได้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</si>
  <si>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8.ของแถมน้อย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</si>
  <si>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9.อาหารสดมีกลิ่น,ไม่สด</t>
    </r>
  </si>
  <si>
    <t>ทั่วไป</t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</si>
  <si>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10.จำกัดจำนวนสินค้า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</si>
  <si>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1.อากาศร้อน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</si>
  <si>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11.เปลี่ยนสินค้ายาก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</si>
  <si>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2.Brochure ไม่มีจัดส่ง / มีบางพื้นที่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</si>
  <si>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12.ชั้นวางไม่มีสินค้าโชว์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</si>
  <si>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3.ถุงบางเกินไป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</si>
  <si>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13.สินค้าแลกซื้อไม่เป็นที่นิยม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</si>
  <si>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4.รถเข็นฝืด/เก่า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</si>
  <si>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14.สินค้าไม่หลากหลาย บางอย่างไม่มี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</si>
  <si>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 xml:space="preserve">5.เดินทางไม่สะดวก(ไม่มีรถ) </t>
    </r>
  </si>
  <si>
    <t xml:space="preserve">     กรุณาระบุ ____________________</t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</si>
  <si>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6.ตาชั่งที่แผนกอาหารสดมีน้อย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</si>
  <si>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7.ภัตตาคารในบิ๊กซีไม่อร่อย/ความสะอาด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</si>
  <si>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8.ที่จอดรถน้อย,ไกล,ชั้นใต้ดิน ไม่ปลอดภัย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</si>
  <si>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 xml:space="preserve">9.ไม่มีบริการส่งสินค้า ระยะทางเกิน 50 กม. </t>
    </r>
  </si>
  <si>
    <r>
      <rPr>
        <sz val="24"/>
        <color indexed="8"/>
        <rFont val="Wingdings 2"/>
        <family val="1"/>
        <charset val="2"/>
      </rPr>
      <t>£</t>
    </r>
    <r>
      <rPr>
        <sz val="24"/>
        <color indexed="8"/>
        <rFont val="Cordia New"/>
        <family val="2"/>
      </rPr>
      <t>10.ไม่มีเวลามาซื้อ</t>
    </r>
  </si>
  <si>
    <t>แบบฟอร์ม ออกเยี่ยมลูกค้า</t>
  </si>
  <si>
    <t>Visit/Call Form</t>
  </si>
  <si>
    <t>11110 Khon Kaen</t>
  </si>
  <si>
    <t>รหัสสมาชิก</t>
  </si>
  <si>
    <t>เบอร์โทร</t>
  </si>
  <si>
    <t>M1 / Duty Mgr.</t>
  </si>
  <si>
    <t>กรรณีการ์   อินทองชู</t>
  </si>
  <si>
    <t>ร้านบาวดำอาหาร ปักใต้</t>
  </si>
  <si>
    <t>พิลาสลักษณ์   ภูภักดี</t>
  </si>
  <si>
    <t>ร้านมารวยสุกี้ราดหน้า</t>
  </si>
  <si>
    <t>ธีระพงษ์   ศรีบ้านบาก</t>
  </si>
  <si>
    <t>ร้านพี่นิดหน่อย อาหารตามสั่ง</t>
  </si>
  <si>
    <t>กนกการลน์   หวันภักดี</t>
  </si>
  <si>
    <t>ไอแม็คชอป</t>
  </si>
  <si>
    <t>ศิริพรรณ   ทายัง</t>
  </si>
  <si>
    <t>ร้านข้าวมันไก่ ก๋วยเตี๋ยวไก่มข.</t>
  </si>
  <si>
    <t>ไพศาล   โคทนา</t>
  </si>
  <si>
    <t>ร้านสุเมธ</t>
  </si>
  <si>
    <t>สรไกร   จันทร์มี</t>
  </si>
  <si>
    <t>ร้านน้องเมย์หมูทอด</t>
  </si>
  <si>
    <t>ภาสกร   บุญทองสุข</t>
  </si>
  <si>
    <t>ร่านภาสกรยำแซบ</t>
  </si>
  <si>
    <t>ขนิษฐา   ชาก์ฐิน</t>
  </si>
  <si>
    <t>จัดเบรค อบรมทุกวันเสาร์</t>
  </si>
  <si>
    <t>ประภาพรรณ   ิพิมพ์ลี</t>
  </si>
  <si>
    <t>ร้านปากซอยข้าวห่อ</t>
  </si>
  <si>
    <t>ทองสมุทร   คำหลอย</t>
  </si>
  <si>
    <t>ร้านอาหารเติมทรัพย์</t>
  </si>
  <si>
    <t>พิกุล   แก้วจอหอ</t>
  </si>
  <si>
    <t>ร้านผัดไทยหอยทอด - ร้านก๋วยเตี๋ยวน้ำตก</t>
  </si>
  <si>
    <t>พัชรพล   เวียรศิลป์</t>
  </si>
  <si>
    <t>ร้าน Kin no bu ta</t>
  </si>
  <si>
    <t>ประพันธ์   ตรงทอง</t>
  </si>
  <si>
    <t>ร้านแม่วันภา</t>
  </si>
  <si>
    <t>ณลิตา   สิงห์ทุย</t>
  </si>
  <si>
    <t>ร้านผัดไทยหอยทอด</t>
  </si>
  <si>
    <t>เฉลิมพร   งามสม</t>
  </si>
  <si>
    <t>ร้านเจ๊พรอาหารใต้</t>
  </si>
  <si>
    <t>สมาน   ขันแข็ง</t>
  </si>
  <si>
    <t>ร้านขายส่งเนื้อแดงเดียว</t>
  </si>
  <si>
    <t>จักรกฤษณ์   จันศรีษร</t>
  </si>
  <si>
    <t>ร้านต้มโครงไก่</t>
  </si>
  <si>
    <t>นาตยา   มณีทร</t>
  </si>
  <si>
    <t>ร้านขวัญใจ ข้าวแกง</t>
  </si>
  <si>
    <t>18 : HoReCa Food Services</t>
  </si>
  <si>
    <t>181 : FS_Hotel</t>
  </si>
  <si>
    <t>1811 : FS_อพาร์ทเมนท์ / หอพัก</t>
  </si>
  <si>
    <t>1812 : FS_โรงแรม/รีสอร์ต 1 ดาว</t>
  </si>
  <si>
    <t>1813 : FS_โรงแรม/รีสอร์ต 2-3 ดาว</t>
  </si>
  <si>
    <t>1814 : FS_โรงแรม/รีสอร์ต 4-5 ดาว</t>
  </si>
  <si>
    <t>182 : FS_Restaurant</t>
  </si>
  <si>
    <t>1821 : FS_ร้านอาหารไทย</t>
  </si>
  <si>
    <t>1822 : FS_ร้านอาหารอีสาน</t>
  </si>
  <si>
    <t>1823 : FS_ร้านอาหารจีน</t>
  </si>
  <si>
    <t>1824 : FS_ร้านอาหารเวียดนาม</t>
  </si>
  <si>
    <t>1825 : FS_ร้านอาหารญี่ปุ่น</t>
  </si>
  <si>
    <t>1826 : FS_ร้านอาหารเกาหลี</t>
  </si>
  <si>
    <t>1827 : FS_ร้านอาหารอินเดีย</t>
  </si>
  <si>
    <t>1828 : FS_ร้านอาหารมุสลิม</t>
  </si>
  <si>
    <t>1829 : FS_ร้านอาหารตะวันตก อาทิ สเต๊ก/อเมริกัน/อิตาเลี่ยน/แม็กซิกัน/อิสราเอล/ฝรั่งเศส</t>
  </si>
  <si>
    <t>183 : FS_Restaurant 2</t>
  </si>
  <si>
    <t>1831 : FS_ร้านหมูกระทะ/บาร์บีคิว/สุกี้/เนื้อย่าง/ชาบู</t>
  </si>
  <si>
    <t>1832 : FS_ร้านอาหารตามสั่ง</t>
  </si>
  <si>
    <t>1833 : FS_ร้านอาหารประเภทก๋วยเตี๋ยว/ผ้ดไท/ราดหน้า/ก๋วยจั๊บ</t>
  </si>
  <si>
    <t>1834 : FS_ร้านอาหารจานหลัก อาทิ ข้าวมันไก่-ข้าวขาหมู-หน้าเป็ด</t>
  </si>
  <si>
    <t xml:space="preserve">1835 : FS_ร้านอาหาร อาทิ อาหารลาว / กัมพูชา / พม่า </t>
  </si>
  <si>
    <t>1836 : FS_ร้านขายโจ้ก/ ต้มเลือดหมู</t>
  </si>
  <si>
    <t>1837 : FS_ร้าน-รถเข็นขายข้าวแกงกลางเหนือใต้/ตามสั่ง/กับข้าว/แกงถุง</t>
  </si>
  <si>
    <t>1838 : FS_รถเข็นขายอาหารประเภทอื่นๆ ผลไม้ดอง/ขนม /ปาท่องโก๋/ขนมครก/ข้าวถ้วย</t>
  </si>
  <si>
    <t>1839 : FS_ร้าน-รถเข็น ไก่ทอด/หมูทอด/หมูปิ้ง/ไก่ปิ้ง/ลูกชิ้น</t>
  </si>
  <si>
    <t>184 : FS_Catering</t>
  </si>
  <si>
    <t>1841 : FS_ธุรกิจจัดเลี้ยง โต๊ะจีน</t>
  </si>
  <si>
    <t>185 : FS_Food Chain</t>
  </si>
  <si>
    <t>1851 : FS_ร้านอาหารฟาสต์ฟู้ด(อาหารคาว) แบบมีสาขา</t>
  </si>
  <si>
    <t>1852 : FS_ร้านอาหารฟาสต์ฟู้ด(อาหารว่าง/ไอศกรีม )แบบมีสาขา</t>
  </si>
  <si>
    <t>186 : FS_Cafe &amp; Coffee</t>
  </si>
  <si>
    <t>1861 : FS_ร้านเบเกอร์รี่</t>
  </si>
  <si>
    <t>1862 : FS_ร้าน-รถเข็นขายกาแฟ/น้ำปั่น/น้ำผลไม้/ชานมไข่มุก</t>
  </si>
  <si>
    <t>1863 : FS_ร้านขายอาหารประเภทอื่นๆ อาทิ ร้านขายขนม/ร้านขายไอศครีม</t>
  </si>
  <si>
    <t>187 : FS_Entertainment</t>
  </si>
  <si>
    <t>1871 : FS_สถานบันเทิง ผับ/บาร์/คาราโอเกะ/อาบอบนวด</t>
  </si>
  <si>
    <t>FOOD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</si>
</sst>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87" formatCode="_-* #,##0.00_-;\-* #,##0.00_-;_-* &quot;-&quot;??_-;_-@_-"/>
    <numFmt numFmtId="188" formatCode="_-* #,##0_-;\-* #,##0_-;_-* &quot;-&quot;??_-;_-@_-"/>
    <numFmt numFmtId="189" formatCode="[$-1070000]d/mm/yyyy;@"/>
    <numFmt numFmtId="190" formatCode="d\ ดดดด\ bbbb"/>
    <numFmt numFmtId="191" formatCode="dd/mm/yyyy;@"/>
    <numFmt numFmtId="192" formatCode="dd/mm/yy;@"/>
  </numFmts>
  <fonts count="68" x14ac:knownFonts="1">
    <font>
      <sz val="11"/>
      <color theme="1"/>
      <name val="Tahoma"/>
      <family val="2"/>
      <charset val="22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ahoma"/>
      <family val="2"/>
      <charset val="222"/>
      <scheme val="minor"/>
    </font>
    <font>
      <b/>
      <sz val="24"/>
      <color rgb="FF002060"/>
      <name val="Tahoma"/>
      <family val="2"/>
      <scheme val="minor"/>
    </font>
    <font>
      <b/>
      <sz val="24"/>
      <color rgb="FFFF0000"/>
      <name val="Tahoma"/>
      <family val="2"/>
      <scheme val="minor"/>
    </font>
    <font>
      <sz val="24"/>
      <color rgb="FFFF0000"/>
      <name val="Tahoma"/>
      <family val="2"/>
      <scheme val="minor"/>
    </font>
    <font>
      <sz val="24"/>
      <name val="Tahoma"/>
      <family val="2"/>
      <scheme val="minor"/>
    </font>
    <font>
      <b/>
      <sz val="20"/>
      <color rgb="FFFF0000"/>
      <name val="Tahoma"/>
      <family val="2"/>
      <scheme val="minor"/>
    </font>
    <font>
      <sz val="20"/>
      <name val="Tahoma"/>
      <family val="2"/>
      <scheme val="minor"/>
    </font>
    <font>
      <b/>
      <sz val="20"/>
      <color theme="1"/>
      <name val="Tahoma"/>
      <family val="2"/>
      <scheme val="minor"/>
    </font>
    <font>
      <b/>
      <sz val="20"/>
      <name val="Tahoma"/>
      <family val="2"/>
      <scheme val="minor"/>
    </font>
    <font>
      <sz val="20"/>
      <color theme="1"/>
      <name val="Tahoma"/>
      <family val="2"/>
      <scheme val="minor"/>
    </font>
    <font>
      <sz val="20"/>
      <color indexed="8"/>
      <name val="Tahoma"/>
      <family val="2"/>
      <scheme val="minor"/>
    </font>
    <font>
      <sz val="20"/>
      <color rgb="FF000000"/>
      <name val="Tahoma"/>
      <family val="2"/>
      <scheme val="minor"/>
    </font>
    <font>
      <sz val="20"/>
      <color rgb="FFFF0000"/>
      <name val="Tahoma"/>
      <family val="2"/>
      <scheme val="minor"/>
    </font>
    <font>
      <b/>
      <sz val="20"/>
      <color indexed="8"/>
      <name val="Tahoma"/>
      <family val="2"/>
      <scheme val="minor"/>
    </font>
    <font>
      <sz val="20"/>
      <color theme="1"/>
      <name val="Tahoma"/>
      <family val="2"/>
      <scheme val="major"/>
    </font>
    <font>
      <sz val="20"/>
      <color indexed="10"/>
      <name val="Tahoma"/>
      <family val="2"/>
      <scheme val="minor"/>
    </font>
    <font>
      <b/>
      <sz val="20"/>
      <color rgb="FF000000"/>
      <name val="Tahoma"/>
      <family val="2"/>
      <scheme val="minor"/>
    </font>
    <font>
      <b/>
      <sz val="20"/>
      <color indexed="10"/>
      <name val="Tahoma"/>
      <family val="2"/>
      <scheme val="minor"/>
    </font>
    <font>
      <sz val="10"/>
      <name val="Arial"/>
      <family val="2"/>
    </font>
    <font>
      <b/>
      <sz val="28"/>
      <name val="AngsanaUPC"/>
      <family val="1"/>
      <charset val="222"/>
    </font>
    <font>
      <sz val="14"/>
      <name val="AngsanaUPC"/>
      <family val="1"/>
      <charset val="222"/>
    </font>
    <font>
      <b/>
      <sz val="14"/>
      <name val="AngsanaUPC"/>
      <family val="1"/>
      <charset val="222"/>
    </font>
    <font>
      <b/>
      <sz val="22"/>
      <name val="AngsanaUPC"/>
      <family val="1"/>
      <charset val="222"/>
    </font>
    <font>
      <sz val="22"/>
      <name val="AngsanaUPC"/>
      <family val="1"/>
      <charset val="222"/>
    </font>
    <font>
      <sz val="18"/>
      <name val="AngsanaUPC"/>
      <family val="1"/>
      <charset val="222"/>
    </font>
    <font>
      <b/>
      <sz val="20"/>
      <name val="AngsanaUPC"/>
      <family val="1"/>
      <charset val="222"/>
    </font>
    <font>
      <b/>
      <sz val="18"/>
      <name val="AngsanaUPC"/>
      <family val="1"/>
      <charset val="222"/>
    </font>
    <font>
      <sz val="22"/>
      <color theme="1"/>
      <name val="Arial"/>
      <family val="2"/>
    </font>
    <font>
      <sz val="18"/>
      <name val="Arial"/>
      <family val="2"/>
    </font>
    <font>
      <b/>
      <sz val="36"/>
      <color theme="1"/>
      <name val="Cordia New"/>
      <family val="2"/>
    </font>
    <font>
      <sz val="36"/>
      <color indexed="8"/>
      <name val="Cordia New"/>
      <family val="2"/>
    </font>
    <font>
      <sz val="36"/>
      <name val="Arial"/>
      <family val="2"/>
    </font>
    <font>
      <b/>
      <sz val="22"/>
      <color theme="1"/>
      <name val="Cordia New"/>
      <family val="2"/>
    </font>
    <font>
      <sz val="18"/>
      <color indexed="8"/>
      <name val="Cordia New"/>
      <family val="2"/>
    </font>
    <font>
      <b/>
      <sz val="24"/>
      <color indexed="8"/>
      <name val="Cordia New"/>
      <family val="2"/>
    </font>
    <font>
      <sz val="24"/>
      <name val="Arial"/>
      <family val="2"/>
    </font>
    <font>
      <b/>
      <sz val="18"/>
      <color indexed="8"/>
      <name val="Cordia New"/>
      <family val="2"/>
    </font>
    <font>
      <sz val="24"/>
      <color indexed="8"/>
      <name val="Cordia New"/>
      <family val="2"/>
    </font>
    <font>
      <sz val="24"/>
      <color indexed="8"/>
      <name val="Wingdings 2"/>
      <family val="1"/>
      <charset val="2"/>
    </font>
    <font>
      <b/>
      <u/>
      <sz val="24"/>
      <color indexed="8"/>
      <name val="Cordia New"/>
      <family val="2"/>
    </font>
    <font>
      <b/>
      <u/>
      <sz val="18"/>
      <color indexed="8"/>
      <name val="Cordia New"/>
      <family val="2"/>
    </font>
    <font>
      <sz val="16"/>
      <color theme="1"/>
      <name val="Angsana New"/>
      <family val="1"/>
    </font>
    <font>
      <b/>
      <sz val="22"/>
      <name val="Angsana New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sz val="16"/>
      <name val="Angsana New"/>
      <family val="1"/>
    </font>
    <font>
      <b/>
      <sz val="16"/>
      <color theme="0"/>
      <name val="Angsana New"/>
      <family val="1"/>
    </font>
    <font>
      <b/>
      <sz val="18"/>
      <name val="AngsanaUPC"/>
      <family val="1"/>
    </font>
    <font>
      <b/>
      <sz val="20"/>
      <name val="AngsanaUPC"/>
      <family val="1"/>
    </font>
    <font>
      <b/>
      <sz val="22"/>
      <name val="AngsanaUPC"/>
      <family val="1"/>
    </font>
    <font>
      <sz val="10"/>
      <color indexed="8"/>
      <name val="Arial"/>
      <family val="2"/>
    </font>
    <font>
      <sz val="11"/>
      <color theme="1"/>
      <name val="Tahoma"/>
      <family val="2"/>
      <scheme val="minor"/>
    </font>
    <font>
      <sz val="8"/>
      <color indexed="8"/>
      <name val="Tahoma"/>
      <family val="2"/>
      <scheme val="minor"/>
    </font>
    <font>
      <b/>
      <sz val="8"/>
      <color theme="1"/>
      <name val="Tahoma"/>
      <family val="2"/>
      <scheme val="minor"/>
    </font>
    <font>
      <sz val="8"/>
      <color theme="1"/>
      <name val="Tahoma"/>
      <family val="2"/>
      <scheme val="minor"/>
    </font>
    <font>
      <sz val="8"/>
      <name val="Tahoma"/>
      <family val="2"/>
      <scheme val="minor"/>
    </font>
    <font>
      <sz val="8"/>
      <color rgb="FFFF0000"/>
      <name val="Tahoma"/>
      <family val="2"/>
      <scheme val="minor"/>
    </font>
    <font>
      <b/>
      <sz val="8"/>
      <name val="Tahoma"/>
      <family val="2"/>
      <scheme val="minor"/>
    </font>
    <font>
      <b/>
      <sz val="8"/>
      <color rgb="FFFF0000"/>
      <name val="Tahoma"/>
      <family val="2"/>
      <scheme val="minor"/>
    </font>
    <font>
      <b/>
      <sz val="8"/>
      <color theme="0"/>
      <name val="Tahoma"/>
      <family val="2"/>
      <scheme val="minor"/>
    </font>
    <font>
      <sz val="8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4"/>
      <color rgb="FFFF0000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1" fillId="0" borderId="0"/>
    <xf numFmtId="0" fontId="21" fillId="0" borderId="0"/>
    <xf numFmtId="0" fontId="21" fillId="0" borderId="0"/>
    <xf numFmtId="0" fontId="53" fillId="0" borderId="0"/>
    <xf numFmtId="187" fontId="3" fillId="0" borderId="0" applyFont="0" applyFill="0" applyBorder="0" applyAlignment="0" applyProtection="0"/>
    <xf numFmtId="0" fontId="54" fillId="0" borderId="0"/>
    <xf numFmtId="43" fontId="54" fillId="0" borderId="0" applyFont="0" applyFill="0" applyBorder="0" applyAlignment="0" applyProtection="0"/>
  </cellStyleXfs>
  <cellXfs count="28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49" fontId="7" fillId="0" borderId="0" xfId="0" applyNumberFormat="1" applyFont="1"/>
    <xf numFmtId="0" fontId="7" fillId="0" borderId="0" xfId="0" applyFont="1"/>
    <xf numFmtId="43" fontId="7" fillId="0" borderId="0" xfId="1" applyFont="1" applyAlignment="1"/>
    <xf numFmtId="43" fontId="8" fillId="0" borderId="5" xfId="1" applyFont="1" applyFill="1" applyBorder="1" applyAlignment="1">
      <alignment horizontal="center" vertical="center"/>
    </xf>
    <xf numFmtId="43" fontId="8" fillId="0" borderId="5" xfId="1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49" fontId="10" fillId="5" borderId="9" xfId="0" applyNumberFormat="1" applyFont="1" applyFill="1" applyBorder="1" applyAlignment="1">
      <alignment horizontal="center" vertical="center" wrapText="1"/>
    </xf>
    <xf numFmtId="4" fontId="10" fillId="5" borderId="9" xfId="0" applyNumberFormat="1" applyFont="1" applyFill="1" applyBorder="1" applyAlignment="1">
      <alignment horizontal="center" vertical="center" wrapText="1"/>
    </xf>
    <xf numFmtId="43" fontId="8" fillId="6" borderId="9" xfId="1" applyFont="1" applyFill="1" applyBorder="1" applyAlignment="1">
      <alignment horizontal="center" vertical="center" wrapText="1"/>
    </xf>
    <xf numFmtId="43" fontId="10" fillId="5" borderId="9" xfId="1" applyFont="1" applyFill="1" applyBorder="1" applyAlignment="1">
      <alignment horizontal="center" vertical="center" wrapText="1"/>
    </xf>
    <xf numFmtId="43" fontId="8" fillId="7" borderId="9" xfId="1" applyFont="1" applyFill="1" applyBorder="1" applyAlignment="1">
      <alignment horizontal="center" vertical="center" wrapText="1"/>
    </xf>
    <xf numFmtId="43" fontId="10" fillId="7" borderId="9" xfId="1" applyFont="1" applyFill="1" applyBorder="1" applyAlignment="1">
      <alignment horizontal="center" vertical="center" wrapText="1"/>
    </xf>
    <xf numFmtId="43" fontId="10" fillId="7" borderId="10" xfId="1" applyFont="1" applyFill="1" applyBorder="1" applyAlignment="1">
      <alignment horizontal="center" vertical="center" wrapText="1"/>
    </xf>
    <xf numFmtId="188" fontId="10" fillId="5" borderId="10" xfId="1" applyNumberFormat="1" applyFont="1" applyFill="1" applyBorder="1" applyAlignment="1">
      <alignment horizontal="center" vertical="center" wrapText="1"/>
    </xf>
    <xf numFmtId="188" fontId="10" fillId="7" borderId="10" xfId="1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4" fontId="10" fillId="3" borderId="14" xfId="0" applyNumberFormat="1" applyFont="1" applyFill="1" applyBorder="1" applyAlignment="1">
      <alignment horizontal="center" vertical="center" wrapText="1"/>
    </xf>
    <xf numFmtId="188" fontId="10" fillId="3" borderId="9" xfId="1" applyNumberFormat="1" applyFont="1" applyFill="1" applyBorder="1" applyAlignment="1">
      <alignment horizontal="center" vertical="center" wrapText="1"/>
    </xf>
    <xf numFmtId="3" fontId="10" fillId="4" borderId="9" xfId="0" applyNumberFormat="1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3" xfId="0" applyFont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 vertical="center"/>
    </xf>
    <xf numFmtId="1" fontId="13" fillId="0" borderId="3" xfId="0" applyNumberFormat="1" applyFont="1" applyBorder="1" applyAlignment="1">
      <alignment horizontal="left" vertical="center"/>
    </xf>
    <xf numFmtId="49" fontId="13" fillId="0" borderId="3" xfId="0" quotePrefix="1" applyNumberFormat="1" applyFont="1" applyBorder="1" applyAlignment="1">
      <alignment horizontal="left" vertical="center"/>
    </xf>
    <xf numFmtId="1" fontId="13" fillId="0" borderId="3" xfId="0" applyNumberFormat="1" applyFont="1" applyBorder="1" applyAlignment="1">
      <alignment vertical="center"/>
    </xf>
    <xf numFmtId="0" fontId="14" fillId="0" borderId="3" xfId="0" applyFont="1" applyBorder="1" applyAlignment="1">
      <alignment horizontal="center" vertical="center" wrapText="1"/>
    </xf>
    <xf numFmtId="4" fontId="13" fillId="0" borderId="3" xfId="0" applyNumberFormat="1" applyFont="1" applyBorder="1" applyAlignment="1">
      <alignment horizontal="center" vertical="center"/>
    </xf>
    <xf numFmtId="4" fontId="13" fillId="8" borderId="3" xfId="0" applyNumberFormat="1" applyFont="1" applyFill="1" applyBorder="1" applyAlignment="1">
      <alignment horizontal="center" vertical="center"/>
    </xf>
    <xf numFmtId="43" fontId="13" fillId="0" borderId="3" xfId="1" applyFont="1" applyFill="1" applyBorder="1" applyAlignment="1">
      <alignment horizontal="center" vertical="center"/>
    </xf>
    <xf numFmtId="10" fontId="15" fillId="0" borderId="1" xfId="2" applyNumberFormat="1" applyFont="1" applyFill="1" applyBorder="1" applyAlignment="1">
      <alignment horizontal="center" vertical="center"/>
    </xf>
    <xf numFmtId="43" fontId="8" fillId="9" borderId="3" xfId="1" applyFont="1" applyFill="1" applyBorder="1" applyAlignment="1">
      <alignment horizontal="left" vertical="center"/>
    </xf>
    <xf numFmtId="10" fontId="15" fillId="9" borderId="1" xfId="2" applyNumberFormat="1" applyFont="1" applyFill="1" applyBorder="1" applyAlignment="1">
      <alignment horizontal="center" vertical="center"/>
    </xf>
    <xf numFmtId="43" fontId="15" fillId="9" borderId="3" xfId="1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 wrapText="1"/>
    </xf>
    <xf numFmtId="188" fontId="8" fillId="0" borderId="3" xfId="1" applyNumberFormat="1" applyFont="1" applyFill="1" applyBorder="1" applyAlignment="1">
      <alignment horizontal="left" vertical="center" wrapText="1"/>
    </xf>
    <xf numFmtId="188" fontId="11" fillId="0" borderId="3" xfId="1" applyNumberFormat="1" applyFont="1" applyFill="1" applyBorder="1" applyAlignment="1">
      <alignment horizontal="center" vertical="center"/>
    </xf>
    <xf numFmtId="43" fontId="16" fillId="0" borderId="16" xfId="1" applyFont="1" applyFill="1" applyBorder="1" applyAlignment="1">
      <alignment horizontal="center" vertical="center"/>
    </xf>
    <xf numFmtId="188" fontId="14" fillId="0" borderId="3" xfId="1" applyNumberFormat="1" applyFont="1" applyBorder="1" applyAlignment="1">
      <alignment horizontal="center" vertical="center" wrapText="1"/>
    </xf>
    <xf numFmtId="189" fontId="14" fillId="0" borderId="16" xfId="1" applyNumberFormat="1" applyFont="1" applyBorder="1" applyAlignment="1">
      <alignment horizontal="center" vertical="center" wrapText="1"/>
    </xf>
    <xf numFmtId="49" fontId="17" fillId="0" borderId="1" xfId="3" quotePrefix="1" applyNumberFormat="1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14" fillId="0" borderId="17" xfId="0" quotePrefix="1" applyFont="1" applyBorder="1" applyAlignment="1">
      <alignment horizontal="center" vertical="center" wrapText="1"/>
    </xf>
    <xf numFmtId="4" fontId="18" fillId="0" borderId="18" xfId="0" applyNumberFormat="1" applyFont="1" applyBorder="1" applyAlignment="1">
      <alignment horizontal="center" vertical="center"/>
    </xf>
    <xf numFmtId="43" fontId="18" fillId="0" borderId="3" xfId="1" applyFont="1" applyFill="1" applyBorder="1" applyAlignment="1">
      <alignment horizontal="center" vertical="center"/>
    </xf>
    <xf numFmtId="188" fontId="13" fillId="0" borderId="3" xfId="1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49" fontId="13" fillId="7" borderId="3" xfId="0" quotePrefix="1" applyNumberFormat="1" applyFont="1" applyFill="1" applyBorder="1" applyAlignment="1">
      <alignment horizontal="left" vertical="center"/>
    </xf>
    <xf numFmtId="1" fontId="13" fillId="7" borderId="3" xfId="0" applyNumberFormat="1" applyFont="1" applyFill="1" applyBorder="1" applyAlignment="1">
      <alignment vertical="center"/>
    </xf>
    <xf numFmtId="43" fontId="18" fillId="0" borderId="3" xfId="1" applyFont="1" applyFill="1" applyBorder="1" applyAlignment="1">
      <alignment horizontal="left" vertical="center"/>
    </xf>
    <xf numFmtId="1" fontId="13" fillId="0" borderId="1" xfId="0" applyNumberFormat="1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left" vertical="center"/>
    </xf>
    <xf numFmtId="1" fontId="13" fillId="0" borderId="1" xfId="0" applyNumberFormat="1" applyFont="1" applyBorder="1" applyAlignment="1">
      <alignment vertical="center"/>
    </xf>
    <xf numFmtId="43" fontId="13" fillId="0" borderId="3" xfId="1" applyFont="1" applyFill="1" applyBorder="1" applyAlignment="1">
      <alignment vertical="center"/>
    </xf>
    <xf numFmtId="43" fontId="8" fillId="9" borderId="3" xfId="1" applyFont="1" applyFill="1" applyBorder="1" applyAlignment="1">
      <alignment horizontal="center" vertical="center"/>
    </xf>
    <xf numFmtId="188" fontId="8" fillId="0" borderId="3" xfId="1" applyNumberFormat="1" applyFont="1" applyFill="1" applyBorder="1" applyAlignment="1">
      <alignment horizontal="center" vertical="center" wrapText="1"/>
    </xf>
    <xf numFmtId="188" fontId="19" fillId="0" borderId="3" xfId="1" applyNumberFormat="1" applyFont="1" applyBorder="1" applyAlignment="1">
      <alignment horizontal="center" vertical="center" wrapText="1"/>
    </xf>
    <xf numFmtId="188" fontId="13" fillId="0" borderId="3" xfId="1" applyNumberFormat="1" applyFont="1" applyFill="1" applyBorder="1" applyAlignment="1">
      <alignment horizontal="center" vertical="center"/>
    </xf>
    <xf numFmtId="187" fontId="15" fillId="0" borderId="3" xfId="0" applyNumberFormat="1" applyFont="1" applyBorder="1" applyAlignment="1">
      <alignment vertical="center" wrapText="1"/>
    </xf>
    <xf numFmtId="43" fontId="18" fillId="0" borderId="19" xfId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1" fontId="13" fillId="6" borderId="3" xfId="0" applyNumberFormat="1" applyFont="1" applyFill="1" applyBorder="1" applyAlignment="1">
      <alignment horizontal="left" vertical="center"/>
    </xf>
    <xf numFmtId="49" fontId="13" fillId="6" borderId="1" xfId="0" quotePrefix="1" applyNumberFormat="1" applyFont="1" applyFill="1" applyBorder="1" applyAlignment="1">
      <alignment horizontal="left" vertical="center"/>
    </xf>
    <xf numFmtId="1" fontId="13" fillId="6" borderId="1" xfId="0" applyNumberFormat="1" applyFont="1" applyFill="1" applyBorder="1" applyAlignment="1">
      <alignment vertical="center"/>
    </xf>
    <xf numFmtId="0" fontId="14" fillId="6" borderId="3" xfId="0" applyFont="1" applyFill="1" applyBorder="1" applyAlignment="1">
      <alignment horizontal="center" vertical="center" wrapText="1"/>
    </xf>
    <xf numFmtId="4" fontId="13" fillId="6" borderId="3" xfId="0" applyNumberFormat="1" applyFont="1" applyFill="1" applyBorder="1" applyAlignment="1">
      <alignment horizontal="center" vertical="center"/>
    </xf>
    <xf numFmtId="43" fontId="13" fillId="6" borderId="3" xfId="1" applyFont="1" applyFill="1" applyBorder="1" applyAlignment="1">
      <alignment vertical="center"/>
    </xf>
    <xf numFmtId="10" fontId="15" fillId="6" borderId="1" xfId="2" applyNumberFormat="1" applyFont="1" applyFill="1" applyBorder="1" applyAlignment="1">
      <alignment horizontal="center" vertical="center"/>
    </xf>
    <xf numFmtId="43" fontId="8" fillId="6" borderId="3" xfId="1" applyFont="1" applyFill="1" applyBorder="1" applyAlignment="1">
      <alignment horizontal="center" vertical="center"/>
    </xf>
    <xf numFmtId="43" fontId="15" fillId="6" borderId="3" xfId="1" applyFont="1" applyFill="1" applyBorder="1" applyAlignment="1">
      <alignment horizontal="center" vertical="center"/>
    </xf>
    <xf numFmtId="188" fontId="8" fillId="6" borderId="3" xfId="1" applyNumberFormat="1" applyFont="1" applyFill="1" applyBorder="1" applyAlignment="1">
      <alignment horizontal="left" vertical="center" wrapText="1"/>
    </xf>
    <xf numFmtId="188" fontId="11" fillId="6" borderId="3" xfId="1" applyNumberFormat="1" applyFont="1" applyFill="1" applyBorder="1" applyAlignment="1">
      <alignment horizontal="center" vertical="center"/>
    </xf>
    <xf numFmtId="43" fontId="16" fillId="6" borderId="16" xfId="1" applyFont="1" applyFill="1" applyBorder="1" applyAlignment="1">
      <alignment horizontal="center" vertical="center"/>
    </xf>
    <xf numFmtId="188" fontId="13" fillId="0" borderId="20" xfId="1" applyNumberFormat="1" applyFont="1" applyFill="1" applyBorder="1" applyAlignment="1">
      <alignment vertical="center"/>
    </xf>
    <xf numFmtId="1" fontId="13" fillId="6" borderId="3" xfId="0" applyNumberFormat="1" applyFont="1" applyFill="1" applyBorder="1" applyAlignment="1">
      <alignment horizontal="center" vertical="center"/>
    </xf>
    <xf numFmtId="49" fontId="13" fillId="6" borderId="3" xfId="0" quotePrefix="1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center"/>
    </xf>
    <xf numFmtId="4" fontId="16" fillId="9" borderId="1" xfId="0" applyNumberFormat="1" applyFont="1" applyFill="1" applyBorder="1"/>
    <xf numFmtId="4" fontId="16" fillId="9" borderId="3" xfId="0" applyNumberFormat="1" applyFont="1" applyFill="1" applyBorder="1"/>
    <xf numFmtId="43" fontId="16" fillId="9" borderId="1" xfId="1" applyFont="1" applyFill="1" applyBorder="1" applyAlignment="1"/>
    <xf numFmtId="43" fontId="11" fillId="9" borderId="1" xfId="1" applyFont="1" applyFill="1" applyBorder="1" applyAlignment="1">
      <alignment horizontal="right"/>
    </xf>
    <xf numFmtId="9" fontId="11" fillId="9" borderId="1" xfId="2" applyFont="1" applyFill="1" applyBorder="1" applyAlignment="1">
      <alignment horizontal="right"/>
    </xf>
    <xf numFmtId="0" fontId="11" fillId="9" borderId="1" xfId="0" applyFont="1" applyFill="1" applyBorder="1" applyAlignment="1">
      <alignment horizontal="left"/>
    </xf>
    <xf numFmtId="43" fontId="15" fillId="9" borderId="3" xfId="1" applyFont="1" applyFill="1" applyBorder="1" applyAlignment="1">
      <alignment horizontal="left" wrapText="1"/>
    </xf>
    <xf numFmtId="43" fontId="11" fillId="7" borderId="1" xfId="1" applyFont="1" applyFill="1" applyBorder="1" applyAlignment="1">
      <alignment horizontal="right"/>
    </xf>
    <xf numFmtId="43" fontId="16" fillId="7" borderId="21" xfId="1" applyFont="1" applyFill="1" applyBorder="1" applyAlignment="1"/>
    <xf numFmtId="188" fontId="19" fillId="7" borderId="3" xfId="1" applyNumberFormat="1" applyFont="1" applyFill="1" applyBorder="1" applyAlignment="1">
      <alignment horizontal="center" wrapText="1"/>
    </xf>
    <xf numFmtId="188" fontId="19" fillId="9" borderId="3" xfId="1" applyNumberFormat="1" applyFont="1" applyFill="1" applyBorder="1" applyAlignment="1">
      <alignment horizontal="center" wrapText="1"/>
    </xf>
    <xf numFmtId="188" fontId="19" fillId="9" borderId="16" xfId="1" applyNumberFormat="1" applyFont="1" applyFill="1" applyBorder="1" applyAlignment="1">
      <alignment horizontal="center" wrapText="1"/>
    </xf>
    <xf numFmtId="1" fontId="19" fillId="9" borderId="24" xfId="0" applyNumberFormat="1" applyFont="1" applyFill="1" applyBorder="1" applyAlignment="1">
      <alignment horizontal="center" wrapText="1"/>
    </xf>
    <xf numFmtId="0" fontId="19" fillId="9" borderId="1" xfId="0" applyFont="1" applyFill="1" applyBorder="1" applyAlignment="1">
      <alignment horizontal="center" wrapText="1"/>
    </xf>
    <xf numFmtId="0" fontId="19" fillId="9" borderId="17" xfId="0" applyFont="1" applyFill="1" applyBorder="1" applyAlignment="1">
      <alignment horizontal="center" wrapText="1"/>
    </xf>
    <xf numFmtId="4" fontId="20" fillId="9" borderId="22" xfId="0" applyNumberFormat="1" applyFont="1" applyFill="1" applyBorder="1" applyAlignment="1">
      <alignment horizontal="center"/>
    </xf>
    <xf numFmtId="43" fontId="20" fillId="9" borderId="3" xfId="1" applyFont="1" applyFill="1" applyBorder="1" applyAlignment="1">
      <alignment horizontal="center"/>
    </xf>
    <xf numFmtId="188" fontId="16" fillId="9" borderId="1" xfId="1" applyNumberFormat="1" applyFont="1" applyFill="1" applyBorder="1" applyAlignment="1"/>
    <xf numFmtId="0" fontId="11" fillId="0" borderId="0" xfId="0" applyFont="1"/>
    <xf numFmtId="49" fontId="9" fillId="0" borderId="0" xfId="0" applyNumberFormat="1" applyFont="1" applyAlignment="1">
      <alignment vertical="center"/>
    </xf>
    <xf numFmtId="43" fontId="9" fillId="0" borderId="0" xfId="1" applyFont="1" applyAlignment="1">
      <alignment vertical="center"/>
    </xf>
    <xf numFmtId="0" fontId="23" fillId="0" borderId="0" xfId="4" applyFont="1"/>
    <xf numFmtId="0" fontId="24" fillId="0" borderId="0" xfId="4" applyFont="1"/>
    <xf numFmtId="0" fontId="23" fillId="0" borderId="0" xfId="4" applyFont="1" applyAlignment="1">
      <alignment horizontal="right"/>
    </xf>
    <xf numFmtId="0" fontId="28" fillId="0" borderId="0" xfId="4" applyFont="1"/>
    <xf numFmtId="0" fontId="27" fillId="0" borderId="1" xfId="4" applyFont="1" applyBorder="1" applyAlignment="1">
      <alignment horizontal="center"/>
    </xf>
    <xf numFmtId="0" fontId="28" fillId="0" borderId="0" xfId="4" applyFont="1" applyAlignment="1">
      <alignment horizontal="left"/>
    </xf>
    <xf numFmtId="0" fontId="23" fillId="0" borderId="0" xfId="4" applyFont="1" applyAlignment="1">
      <alignment horizontal="left"/>
    </xf>
    <xf numFmtId="0" fontId="27" fillId="0" borderId="0" xfId="4" applyFont="1"/>
    <xf numFmtId="0" fontId="29" fillId="0" borderId="0" xfId="4" applyFont="1" applyAlignment="1">
      <alignment horizontal="center"/>
    </xf>
    <xf numFmtId="0" fontId="23" fillId="0" borderId="0" xfId="4" applyFont="1" applyAlignment="1">
      <alignment vertical="center"/>
    </xf>
    <xf numFmtId="20" fontId="23" fillId="0" borderId="1" xfId="4" quotePrefix="1" applyNumberFormat="1" applyFont="1" applyBorder="1" applyAlignment="1">
      <alignment horizontal="center"/>
    </xf>
    <xf numFmtId="0" fontId="30" fillId="6" borderId="0" xfId="5" applyFont="1" applyFill="1"/>
    <xf numFmtId="0" fontId="31" fillId="8" borderId="0" xfId="5" applyFont="1" applyFill="1"/>
    <xf numFmtId="0" fontId="33" fillId="8" borderId="0" xfId="5" applyFont="1" applyFill="1"/>
    <xf numFmtId="0" fontId="34" fillId="8" borderId="0" xfId="5" applyFont="1" applyFill="1"/>
    <xf numFmtId="0" fontId="35" fillId="6" borderId="0" xfId="5" applyFont="1" applyFill="1" applyAlignment="1">
      <alignment horizontal="center"/>
    </xf>
    <xf numFmtId="0" fontId="36" fillId="8" borderId="0" xfId="5" applyFont="1" applyFill="1"/>
    <xf numFmtId="0" fontId="36" fillId="0" borderId="0" xfId="5" applyFont="1"/>
    <xf numFmtId="0" fontId="31" fillId="0" borderId="0" xfId="5" applyFont="1"/>
    <xf numFmtId="0" fontId="37" fillId="8" borderId="0" xfId="5" applyFont="1" applyFill="1"/>
    <xf numFmtId="0" fontId="38" fillId="8" borderId="0" xfId="5" applyFont="1" applyFill="1"/>
    <xf numFmtId="0" fontId="39" fillId="8" borderId="0" xfId="5" applyFont="1" applyFill="1"/>
    <xf numFmtId="0" fontId="40" fillId="8" borderId="0" xfId="5" applyFont="1" applyFill="1"/>
    <xf numFmtId="0" fontId="40" fillId="8" borderId="0" xfId="5" applyFont="1" applyFill="1" applyAlignment="1">
      <alignment horizontal="left" wrapText="1"/>
    </xf>
    <xf numFmtId="0" fontId="40" fillId="8" borderId="0" xfId="5" applyFont="1" applyFill="1" applyAlignment="1">
      <alignment horizontal="left"/>
    </xf>
    <xf numFmtId="0" fontId="42" fillId="8" borderId="0" xfId="5" applyFont="1" applyFill="1"/>
    <xf numFmtId="0" fontId="42" fillId="8" borderId="0" xfId="6" applyFont="1" applyFill="1"/>
    <xf numFmtId="0" fontId="36" fillId="8" borderId="0" xfId="5" applyFont="1" applyFill="1" applyAlignment="1">
      <alignment horizontal="left" wrapText="1"/>
    </xf>
    <xf numFmtId="0" fontId="40" fillId="8" borderId="0" xfId="6" applyFont="1" applyFill="1"/>
    <xf numFmtId="0" fontId="43" fillId="8" borderId="0" xfId="5" applyFont="1" applyFill="1"/>
    <xf numFmtId="0" fontId="36" fillId="8" borderId="0" xfId="6" applyFont="1" applyFill="1"/>
    <xf numFmtId="191" fontId="44" fillId="0" borderId="0" xfId="3" applyNumberFormat="1" applyFont="1" applyAlignment="1">
      <alignment horizontal="center"/>
    </xf>
    <xf numFmtId="0" fontId="44" fillId="0" borderId="0" xfId="3" applyFont="1"/>
    <xf numFmtId="0" fontId="46" fillId="0" borderId="0" xfId="3" applyFont="1"/>
    <xf numFmtId="0" fontId="47" fillId="10" borderId="0" xfId="3" applyFont="1" applyFill="1"/>
    <xf numFmtId="0" fontId="47" fillId="0" borderId="0" xfId="3" applyFont="1" applyAlignment="1">
      <alignment horizontal="center"/>
    </xf>
    <xf numFmtId="191" fontId="44" fillId="0" borderId="1" xfId="3" applyNumberFormat="1" applyFont="1" applyBorder="1" applyAlignment="1">
      <alignment horizontal="center" shrinkToFit="1"/>
    </xf>
    <xf numFmtId="0" fontId="44" fillId="0" borderId="1" xfId="3" applyFont="1" applyBorder="1"/>
    <xf numFmtId="191" fontId="49" fillId="12" borderId="8" xfId="3" applyNumberFormat="1" applyFont="1" applyFill="1" applyBorder="1" applyAlignment="1">
      <alignment horizontal="center"/>
    </xf>
    <xf numFmtId="0" fontId="49" fillId="12" borderId="9" xfId="3" applyFont="1" applyFill="1" applyBorder="1" applyAlignment="1">
      <alignment horizontal="center"/>
    </xf>
    <xf numFmtId="0" fontId="49" fillId="12" borderId="10" xfId="3" applyFont="1" applyFill="1" applyBorder="1" applyAlignment="1">
      <alignment horizontal="center"/>
    </xf>
    <xf numFmtId="0" fontId="49" fillId="12" borderId="8" xfId="3" applyFont="1" applyFill="1" applyBorder="1" applyAlignment="1">
      <alignment horizontal="center" shrinkToFit="1"/>
    </xf>
    <xf numFmtId="0" fontId="49" fillId="12" borderId="15" xfId="3" applyFont="1" applyFill="1" applyBorder="1" applyAlignment="1">
      <alignment horizontal="center"/>
    </xf>
    <xf numFmtId="191" fontId="44" fillId="0" borderId="3" xfId="3" applyNumberFormat="1" applyFont="1" applyBorder="1" applyAlignment="1">
      <alignment horizontal="center" shrinkToFit="1"/>
    </xf>
    <xf numFmtId="0" fontId="44" fillId="0" borderId="21" xfId="3" applyFont="1" applyBorder="1"/>
    <xf numFmtId="0" fontId="44" fillId="0" borderId="24" xfId="3" applyFont="1" applyBorder="1"/>
    <xf numFmtId="0" fontId="44" fillId="0" borderId="17" xfId="3" applyFont="1" applyBorder="1"/>
    <xf numFmtId="0" fontId="44" fillId="0" borderId="29" xfId="3" applyFont="1" applyBorder="1"/>
    <xf numFmtId="0" fontId="44" fillId="0" borderId="30" xfId="3" applyFont="1" applyBorder="1"/>
    <xf numFmtId="191" fontId="44" fillId="0" borderId="0" xfId="0" applyNumberFormat="1" applyFont="1" applyAlignment="1">
      <alignment horizontal="center"/>
    </xf>
    <xf numFmtId="0" fontId="44" fillId="0" borderId="0" xfId="0" applyFont="1"/>
    <xf numFmtId="0" fontId="46" fillId="0" borderId="0" xfId="0" applyFont="1"/>
    <xf numFmtId="0" fontId="47" fillId="10" borderId="0" xfId="0" applyFont="1" applyFill="1"/>
    <xf numFmtId="191" fontId="49" fillId="12" borderId="8" xfId="0" applyNumberFormat="1" applyFont="1" applyFill="1" applyBorder="1" applyAlignment="1">
      <alignment horizontal="center"/>
    </xf>
    <xf numFmtId="0" fontId="49" fillId="12" borderId="9" xfId="0" applyFont="1" applyFill="1" applyBorder="1" applyAlignment="1">
      <alignment horizontal="center"/>
    </xf>
    <xf numFmtId="0" fontId="49" fillId="12" borderId="10" xfId="0" applyFont="1" applyFill="1" applyBorder="1" applyAlignment="1">
      <alignment horizontal="center"/>
    </xf>
    <xf numFmtId="0" fontId="49" fillId="12" borderId="8" xfId="0" applyFont="1" applyFill="1" applyBorder="1" applyAlignment="1">
      <alignment horizontal="center" shrinkToFit="1"/>
    </xf>
    <xf numFmtId="0" fontId="49" fillId="12" borderId="15" xfId="0" applyFont="1" applyFill="1" applyBorder="1" applyAlignment="1">
      <alignment horizontal="center"/>
    </xf>
    <xf numFmtId="0" fontId="47" fillId="0" borderId="0" xfId="0" applyFont="1" applyAlignment="1">
      <alignment horizontal="center"/>
    </xf>
    <xf numFmtId="191" fontId="44" fillId="0" borderId="3" xfId="0" applyNumberFormat="1" applyFont="1" applyBorder="1" applyAlignment="1">
      <alignment horizontal="center" shrinkToFit="1"/>
    </xf>
    <xf numFmtId="0" fontId="44" fillId="0" borderId="3" xfId="0" applyFont="1" applyBorder="1"/>
    <xf numFmtId="0" fontId="44" fillId="0" borderId="16" xfId="0" applyFont="1" applyBorder="1"/>
    <xf numFmtId="0" fontId="44" fillId="0" borderId="31" xfId="0" applyFont="1" applyBorder="1"/>
    <xf numFmtId="0" fontId="44" fillId="0" borderId="32" xfId="0" applyFont="1" applyBorder="1"/>
    <xf numFmtId="191" fontId="44" fillId="0" borderId="1" xfId="0" applyNumberFormat="1" applyFont="1" applyBorder="1" applyAlignment="1">
      <alignment horizontal="center" shrinkToFit="1"/>
    </xf>
    <xf numFmtId="0" fontId="44" fillId="0" borderId="1" xfId="0" applyFont="1" applyBorder="1"/>
    <xf numFmtId="0" fontId="44" fillId="0" borderId="21" xfId="0" applyFont="1" applyBorder="1"/>
    <xf numFmtId="0" fontId="44" fillId="0" borderId="24" xfId="0" applyFont="1" applyBorder="1"/>
    <xf numFmtId="0" fontId="44" fillId="0" borderId="17" xfId="0" applyFont="1" applyBorder="1"/>
    <xf numFmtId="0" fontId="44" fillId="0" borderId="29" xfId="0" applyFont="1" applyBorder="1"/>
    <xf numFmtId="0" fontId="44" fillId="0" borderId="30" xfId="0" applyFont="1" applyBorder="1"/>
    <xf numFmtId="191" fontId="49" fillId="12" borderId="14" xfId="3" applyNumberFormat="1" applyFont="1" applyFill="1" applyBorder="1" applyAlignment="1">
      <alignment horizontal="center"/>
    </xf>
    <xf numFmtId="0" fontId="25" fillId="0" borderId="2" xfId="4" applyFont="1" applyBorder="1" applyAlignment="1">
      <alignment horizontal="center" vertical="center"/>
    </xf>
    <xf numFmtId="191" fontId="49" fillId="12" borderId="14" xfId="0" applyNumberFormat="1" applyFont="1" applyFill="1" applyBorder="1" applyAlignment="1">
      <alignment horizontal="center"/>
    </xf>
    <xf numFmtId="0" fontId="24" fillId="0" borderId="0" xfId="4" applyFont="1" applyAlignment="1">
      <alignment horizontal="center"/>
    </xf>
    <xf numFmtId="0" fontId="51" fillId="0" borderId="0" xfId="4" applyFont="1"/>
    <xf numFmtId="0" fontId="50" fillId="0" borderId="0" xfId="4" applyFont="1" applyAlignment="1">
      <alignment horizontal="center"/>
    </xf>
    <xf numFmtId="0" fontId="29" fillId="0" borderId="0" xfId="4" applyFont="1" applyAlignment="1">
      <alignment horizontal="center" vertical="center"/>
    </xf>
    <xf numFmtId="0" fontId="23" fillId="0" borderId="18" xfId="4" applyFont="1" applyBorder="1"/>
    <xf numFmtId="0" fontId="27" fillId="0" borderId="0" xfId="4" applyFont="1" applyAlignment="1">
      <alignment horizontal="center"/>
    </xf>
    <xf numFmtId="0" fontId="25" fillId="0" borderId="0" xfId="4" applyFont="1" applyAlignment="1">
      <alignment vertical="center"/>
    </xf>
    <xf numFmtId="0" fontId="26" fillId="0" borderId="0" xfId="4" applyFont="1" applyAlignment="1">
      <alignment vertical="center"/>
    </xf>
    <xf numFmtId="0" fontId="25" fillId="0" borderId="1" xfId="4" applyFont="1" applyBorder="1" applyAlignment="1">
      <alignment vertical="center"/>
    </xf>
    <xf numFmtId="190" fontId="27" fillId="0" borderId="1" xfId="4" applyNumberFormat="1" applyFont="1" applyBorder="1" applyAlignment="1">
      <alignment horizontal="center"/>
    </xf>
    <xf numFmtId="0" fontId="26" fillId="0" borderId="1" xfId="4" applyFont="1" applyBorder="1" applyAlignment="1">
      <alignment vertical="center"/>
    </xf>
    <xf numFmtId="0" fontId="27" fillId="0" borderId="1" xfId="4" quotePrefix="1" applyFont="1" applyBorder="1" applyAlignment="1">
      <alignment horizontal="center"/>
    </xf>
    <xf numFmtId="0" fontId="52" fillId="0" borderId="3" xfId="4" applyFont="1" applyBorder="1" applyAlignment="1">
      <alignment horizontal="center" vertical="center"/>
    </xf>
    <xf numFmtId="0" fontId="29" fillId="0" borderId="1" xfId="4" applyFont="1" applyBorder="1" applyAlignment="1">
      <alignment horizontal="center"/>
    </xf>
    <xf numFmtId="0" fontId="23" fillId="0" borderId="1" xfId="4" applyFont="1" applyBorder="1"/>
    <xf numFmtId="0" fontId="23" fillId="0" borderId="22" xfId="4" applyFont="1" applyBorder="1"/>
    <xf numFmtId="0" fontId="56" fillId="0" borderId="0" xfId="0" applyFont="1" applyAlignment="1">
      <alignment horizontal="center"/>
    </xf>
    <xf numFmtId="0" fontId="57" fillId="0" borderId="0" xfId="0" applyFont="1"/>
    <xf numFmtId="0" fontId="57" fillId="0" borderId="0" xfId="0" applyFont="1" applyAlignment="1">
      <alignment horizontal="center"/>
    </xf>
    <xf numFmtId="0" fontId="58" fillId="0" borderId="0" xfId="0" applyFont="1"/>
    <xf numFmtId="192" fontId="57" fillId="0" borderId="0" xfId="0" applyNumberFormat="1" applyFont="1"/>
    <xf numFmtId="49" fontId="57" fillId="0" borderId="0" xfId="0" applyNumberFormat="1" applyFont="1" applyAlignment="1">
      <alignment horizontal="left"/>
    </xf>
    <xf numFmtId="0" fontId="59" fillId="0" borderId="0" xfId="0" applyFont="1"/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192" fontId="56" fillId="0" borderId="0" xfId="0" applyNumberFormat="1" applyFont="1" applyAlignment="1">
      <alignment horizontal="center"/>
    </xf>
    <xf numFmtId="49" fontId="61" fillId="7" borderId="0" xfId="0" applyNumberFormat="1" applyFont="1" applyFill="1" applyAlignment="1">
      <alignment horizontal="center"/>
    </xf>
    <xf numFmtId="0" fontId="61" fillId="7" borderId="0" xfId="0" applyFont="1" applyFill="1" applyAlignment="1">
      <alignment horizontal="center"/>
    </xf>
    <xf numFmtId="1" fontId="62" fillId="13" borderId="33" xfId="3" applyNumberFormat="1" applyFont="1" applyFill="1" applyBorder="1" applyAlignment="1">
      <alignment horizontal="center" vertical="center" wrapText="1" shrinkToFit="1"/>
    </xf>
    <xf numFmtId="192" fontId="62" fillId="13" borderId="34" xfId="3" applyNumberFormat="1" applyFont="1" applyFill="1" applyBorder="1" applyAlignment="1">
      <alignment horizontal="center" vertical="center" wrapText="1" shrinkToFit="1"/>
    </xf>
    <xf numFmtId="1" fontId="62" fillId="13" borderId="34" xfId="3" applyNumberFormat="1" applyFont="1" applyFill="1" applyBorder="1" applyAlignment="1">
      <alignment horizontal="center" vertical="center" wrapText="1" shrinkToFit="1"/>
    </xf>
    <xf numFmtId="49" fontId="62" fillId="13" borderId="34" xfId="3" applyNumberFormat="1" applyFont="1" applyFill="1" applyBorder="1" applyAlignment="1">
      <alignment horizontal="center" vertical="center" wrapText="1" shrinkToFit="1"/>
    </xf>
    <xf numFmtId="187" fontId="62" fillId="13" borderId="34" xfId="8" applyFont="1" applyFill="1" applyBorder="1" applyAlignment="1">
      <alignment horizontal="center" vertical="center" wrapText="1" shrinkToFit="1"/>
    </xf>
    <xf numFmtId="1" fontId="62" fillId="13" borderId="35" xfId="3" applyNumberFormat="1" applyFont="1" applyFill="1" applyBorder="1" applyAlignment="1">
      <alignment horizontal="center" vertical="center" wrapText="1" shrinkToFit="1"/>
    </xf>
    <xf numFmtId="1" fontId="62" fillId="14" borderId="35" xfId="3" applyNumberFormat="1" applyFont="1" applyFill="1" applyBorder="1" applyAlignment="1">
      <alignment horizontal="center" vertical="center" wrapText="1" shrinkToFit="1"/>
    </xf>
    <xf numFmtId="0" fontId="56" fillId="8" borderId="36" xfId="3" applyFont="1" applyFill="1" applyBorder="1" applyAlignment="1">
      <alignment horizontal="center" vertical="center" wrapText="1"/>
    </xf>
    <xf numFmtId="0" fontId="58" fillId="0" borderId="24" xfId="3" quotePrefix="1" applyFont="1" applyBorder="1" applyAlignment="1">
      <alignment horizontal="center" vertical="center"/>
    </xf>
    <xf numFmtId="192" fontId="58" fillId="0" borderId="1" xfId="3" applyNumberFormat="1" applyFont="1" applyBorder="1" applyAlignment="1">
      <alignment horizontal="center" vertical="center"/>
    </xf>
    <xf numFmtId="49" fontId="57" fillId="0" borderId="0" xfId="0" applyNumberFormat="1" applyFont="1" applyAlignment="1">
      <alignment vertical="center"/>
    </xf>
    <xf numFmtId="49" fontId="57" fillId="7" borderId="1" xfId="3" quotePrefix="1" applyNumberFormat="1" applyFont="1" applyFill="1" applyBorder="1" applyAlignment="1">
      <alignment horizontal="left" vertical="center"/>
    </xf>
    <xf numFmtId="1" fontId="57" fillId="0" borderId="1" xfId="3" quotePrefix="1" applyNumberFormat="1" applyFont="1" applyBorder="1" applyAlignment="1">
      <alignment horizontal="center" vertical="center"/>
    </xf>
    <xf numFmtId="49" fontId="57" fillId="0" borderId="1" xfId="3" quotePrefix="1" applyNumberFormat="1" applyFont="1" applyBorder="1" applyAlignment="1">
      <alignment vertical="center"/>
    </xf>
    <xf numFmtId="0" fontId="55" fillId="8" borderId="1" xfId="0" applyFont="1" applyFill="1" applyBorder="1" applyAlignment="1">
      <alignment horizontal="left" vertical="center"/>
    </xf>
    <xf numFmtId="0" fontId="55" fillId="8" borderId="1" xfId="0" applyFont="1" applyFill="1" applyBorder="1" applyAlignment="1">
      <alignment vertical="center"/>
    </xf>
    <xf numFmtId="187" fontId="57" fillId="0" borderId="1" xfId="8" quotePrefix="1" applyFont="1" applyFill="1" applyBorder="1" applyAlignment="1">
      <alignment vertical="center"/>
    </xf>
    <xf numFmtId="0" fontId="59" fillId="0" borderId="0" xfId="0" applyFont="1" applyAlignment="1">
      <alignment vertical="center"/>
    </xf>
    <xf numFmtId="0" fontId="59" fillId="0" borderId="0" xfId="0" applyFont="1" applyAlignment="1">
      <alignment horizontal="center" vertical="center"/>
    </xf>
    <xf numFmtId="0" fontId="57" fillId="0" borderId="0" xfId="0" applyFont="1" applyAlignment="1">
      <alignment vertical="center"/>
    </xf>
    <xf numFmtId="0" fontId="58" fillId="0" borderId="1" xfId="3" applyFont="1" applyBorder="1" applyAlignment="1">
      <alignment horizontal="left" vertical="center"/>
    </xf>
    <xf numFmtId="0" fontId="61" fillId="7" borderId="0" xfId="0" applyFont="1" applyFill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7" fillId="0" borderId="17" xfId="3" quotePrefix="1" applyFont="1" applyBorder="1" applyAlignment="1">
      <alignment vertical="center"/>
    </xf>
    <xf numFmtId="0" fontId="63" fillId="0" borderId="0" xfId="0" applyFont="1"/>
    <xf numFmtId="0" fontId="56" fillId="7" borderId="0" xfId="0" applyFont="1" applyFill="1"/>
    <xf numFmtId="0" fontId="61" fillId="0" borderId="0" xfId="0" applyFont="1" applyAlignment="1">
      <alignment horizontal="centerContinuous" vertical="distributed"/>
    </xf>
    <xf numFmtId="49" fontId="61" fillId="15" borderId="0" xfId="0" applyNumberFormat="1" applyFont="1" applyFill="1" applyAlignment="1">
      <alignment horizontal="center"/>
    </xf>
    <xf numFmtId="0" fontId="52" fillId="0" borderId="16" xfId="4" applyFont="1" applyBorder="1" applyAlignment="1">
      <alignment horizontal="center" vertical="center"/>
    </xf>
    <xf numFmtId="0" fontId="25" fillId="0" borderId="25" xfId="4" applyFont="1" applyBorder="1" applyAlignment="1">
      <alignment horizontal="center" vertical="center"/>
    </xf>
    <xf numFmtId="0" fontId="23" fillId="0" borderId="21" xfId="4" applyFont="1" applyBorder="1"/>
    <xf numFmtId="0" fontId="66" fillId="7" borderId="0" xfId="0" applyFont="1" applyFill="1"/>
    <xf numFmtId="0" fontId="67" fillId="7" borderId="0" xfId="0" applyFont="1" applyFill="1"/>
    <xf numFmtId="0" fontId="67" fillId="0" borderId="0" xfId="0" applyFont="1"/>
    <xf numFmtId="0" fontId="23" fillId="0" borderId="21" xfId="4" applyFont="1" applyBorder="1"/>
    <xf numFmtId="0" fontId="23" fillId="0" borderId="23" xfId="4" applyFont="1" applyBorder="1"/>
    <xf numFmtId="0" fontId="25" fillId="0" borderId="21" xfId="4" applyFont="1" applyBorder="1" applyAlignment="1">
      <alignment horizontal="center" vertical="center"/>
    </xf>
    <xf numFmtId="0" fontId="25" fillId="0" borderId="22" xfId="4" applyFont="1" applyBorder="1" applyAlignment="1">
      <alignment horizontal="center" vertical="center"/>
    </xf>
    <xf numFmtId="0" fontId="25" fillId="0" borderId="23" xfId="4" applyFont="1" applyBorder="1" applyAlignment="1">
      <alignment horizontal="center" vertical="center"/>
    </xf>
    <xf numFmtId="0" fontId="25" fillId="0" borderId="21" xfId="4" applyFont="1" applyBorder="1" applyAlignment="1">
      <alignment horizontal="center"/>
    </xf>
    <xf numFmtId="0" fontId="25" fillId="0" borderId="23" xfId="4" applyFont="1" applyBorder="1" applyAlignment="1">
      <alignment horizontal="center"/>
    </xf>
    <xf numFmtId="0" fontId="52" fillId="0" borderId="16" xfId="4" applyFont="1" applyBorder="1" applyAlignment="1">
      <alignment horizontal="center" vertical="center"/>
    </xf>
    <xf numFmtId="0" fontId="52" fillId="0" borderId="20" xfId="4" applyFont="1" applyBorder="1" applyAlignment="1">
      <alignment horizontal="center" vertical="center"/>
    </xf>
    <xf numFmtId="0" fontId="52" fillId="0" borderId="21" xfId="4" applyFont="1" applyBorder="1" applyAlignment="1">
      <alignment horizontal="center" vertical="center"/>
    </xf>
    <xf numFmtId="0" fontId="52" fillId="0" borderId="23" xfId="4" applyFont="1" applyBorder="1" applyAlignment="1">
      <alignment horizontal="center" vertical="center"/>
    </xf>
    <xf numFmtId="0" fontId="25" fillId="0" borderId="25" xfId="4" applyFont="1" applyBorder="1" applyAlignment="1">
      <alignment horizontal="center" vertical="center"/>
    </xf>
    <xf numFmtId="0" fontId="25" fillId="0" borderId="26" xfId="4" applyFont="1" applyBorder="1" applyAlignment="1">
      <alignment horizontal="center" vertical="center"/>
    </xf>
    <xf numFmtId="0" fontId="22" fillId="0" borderId="0" xfId="4" applyFont="1" applyAlignment="1">
      <alignment horizontal="center"/>
    </xf>
    <xf numFmtId="0" fontId="23" fillId="0" borderId="0" xfId="4" applyFont="1" applyAlignment="1">
      <alignment horizontal="center"/>
    </xf>
    <xf numFmtId="0" fontId="25" fillId="0" borderId="21" xfId="4" applyFont="1" applyBorder="1" applyAlignment="1">
      <alignment horizontal="left" vertical="center"/>
    </xf>
    <xf numFmtId="0" fontId="25" fillId="0" borderId="23" xfId="4" applyFont="1" applyBorder="1" applyAlignment="1">
      <alignment horizontal="left" vertical="center"/>
    </xf>
    <xf numFmtId="0" fontId="45" fillId="0" borderId="0" xfId="0" applyFont="1" applyAlignment="1">
      <alignment horizontal="left"/>
    </xf>
    <xf numFmtId="0" fontId="48" fillId="11" borderId="28" xfId="0" applyFont="1" applyFill="1" applyBorder="1" applyAlignment="1">
      <alignment horizontal="center" vertical="center" shrinkToFit="1"/>
    </xf>
    <xf numFmtId="0" fontId="48" fillId="0" borderId="27" xfId="0" applyFont="1" applyBorder="1" applyAlignment="1">
      <alignment vertical="center"/>
    </xf>
    <xf numFmtId="0" fontId="61" fillId="7" borderId="37" xfId="0" applyFont="1" applyFill="1" applyBorder="1" applyAlignment="1">
      <alignment horizontal="center"/>
    </xf>
    <xf numFmtId="0" fontId="65" fillId="15" borderId="0" xfId="0" applyFont="1" applyFill="1" applyAlignment="1">
      <alignment horizontal="center"/>
    </xf>
    <xf numFmtId="0" fontId="16" fillId="9" borderId="21" xfId="0" applyFont="1" applyFill="1" applyBorder="1" applyAlignment="1">
      <alignment horizontal="center"/>
    </xf>
    <xf numFmtId="0" fontId="16" fillId="9" borderId="22" xfId="0" applyFont="1" applyFill="1" applyBorder="1" applyAlignment="1">
      <alignment horizontal="center"/>
    </xf>
    <xf numFmtId="0" fontId="16" fillId="9" borderId="23" xfId="0" applyFont="1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4" fontId="8" fillId="3" borderId="7" xfId="0" applyNumberFormat="1" applyFont="1" applyFill="1" applyBorder="1" applyAlignment="1">
      <alignment horizontal="center" vertical="center"/>
    </xf>
    <xf numFmtId="4" fontId="8" fillId="4" borderId="4" xfId="0" applyNumberFormat="1" applyFont="1" applyFill="1" applyBorder="1" applyAlignment="1">
      <alignment horizontal="center" vertical="center"/>
    </xf>
    <xf numFmtId="4" fontId="8" fillId="4" borderId="6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32" fillId="6" borderId="0" xfId="5" applyFont="1" applyFill="1" applyAlignment="1">
      <alignment horizontal="center"/>
    </xf>
    <xf numFmtId="0" fontId="35" fillId="0" borderId="0" xfId="5" applyFont="1" applyAlignment="1">
      <alignment horizontal="center"/>
    </xf>
    <xf numFmtId="0" fontId="45" fillId="0" borderId="0" xfId="3" applyFont="1" applyAlignment="1">
      <alignment horizontal="left"/>
    </xf>
    <xf numFmtId="0" fontId="48" fillId="11" borderId="28" xfId="3" applyFont="1" applyFill="1" applyBorder="1" applyAlignment="1">
      <alignment horizontal="center" vertical="center" shrinkToFit="1"/>
    </xf>
    <xf numFmtId="0" fontId="48" fillId="0" borderId="27" xfId="3" applyFont="1" applyBorder="1" applyAlignment="1">
      <alignment vertical="center"/>
    </xf>
  </cellXfs>
  <cellStyles count="11">
    <cellStyle name="Comma" xfId="1" builtinId="3"/>
    <cellStyle name="Comma 2" xfId="10" xr:uid="{00000000-0005-0000-0000-000001000000}"/>
    <cellStyle name="Comma 4" xfId="8" xr:uid="{00000000-0005-0000-0000-000002000000}"/>
    <cellStyle name="Normal" xfId="0" builtinId="0"/>
    <cellStyle name="Normal 12" xfId="3" xr:uid="{00000000-0005-0000-0000-000004000000}"/>
    <cellStyle name="Normal 2" xfId="9" xr:uid="{00000000-0005-0000-0000-000005000000}"/>
    <cellStyle name="Normal 5" xfId="5" xr:uid="{00000000-0005-0000-0000-000006000000}"/>
    <cellStyle name="Normal 7" xfId="7" xr:uid="{00000000-0005-0000-0000-000007000000}"/>
    <cellStyle name="Normal_Canvassing nationwide summary form ( Review )" xfId="4" xr:uid="{00000000-0005-0000-0000-000008000000}"/>
    <cellStyle name="Normal_Sheet1" xfId="6" xr:uid="{00000000-0005-0000-0000-000009000000}"/>
    <cellStyle name="Percent" xfId="2" builtinId="5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3587750</xdr:colOff>
      <xdr:row>0</xdr:row>
      <xdr:rowOff>47626</xdr:rowOff>
    </xdr:from>
    <xdr:to>
      <xdr:col>11</xdr:col>
      <xdr:colOff>4888978</xdr:colOff>
      <xdr:row>4</xdr:row>
      <xdr:rowOff>349251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6017875" y="47626"/>
          <a:ext cx="1301228" cy="174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419100</xdr:colOff>
      <xdr:row>2</xdr:row>
      <xdr:rowOff>352425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49" y="0"/>
          <a:ext cx="723901" cy="1047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47626</xdr:rowOff>
    </xdr:from>
    <xdr:to>
      <xdr:col>0</xdr:col>
      <xdr:colOff>682624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625" y="47626"/>
          <a:ext cx="634999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0</xdr:row>
      <xdr:rowOff>28574</xdr:rowOff>
    </xdr:from>
    <xdr:to>
      <xdr:col>0</xdr:col>
      <xdr:colOff>847725</xdr:colOff>
      <xdr:row>3</xdr:row>
      <xdr:rowOff>17807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4" y="28574"/>
          <a:ext cx="800101" cy="1056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8"/>
  <sheetViews>
    <sheetView showGridLines="0" zoomScale="50" zoomScaleNormal="50" workbookViewId="0">
      <selection activeCell="C12" sqref="C12"/>
    </sheetView>
  </sheetViews>
  <sheetFormatPr defaultColWidth="9.19921875" defaultRowHeight="19.8" x14ac:dyDescent="0.5"/>
  <cols>
    <col min="1" max="1" width="11.19921875" style="109" customWidth="1"/>
    <col min="2" max="2" width="31.19921875" style="109" customWidth="1"/>
    <col min="3" max="3" width="43.19921875" style="109" customWidth="1"/>
    <col min="4" max="4" width="45.3984375" style="109" customWidth="1"/>
    <col min="5" max="5" width="17.19921875" style="109" customWidth="1"/>
    <col min="6" max="7" width="32.69921875" style="109" customWidth="1"/>
    <col min="8" max="11" width="3.69921875" style="109" customWidth="1"/>
    <col min="12" max="12" width="74.69921875" style="109" customWidth="1"/>
    <col min="13" max="16384" width="9.19921875" style="109"/>
  </cols>
  <sheetData>
    <row r="1" spans="1:12" ht="40.799999999999997" x14ac:dyDescent="1.05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</row>
    <row r="2" spans="1:12" ht="20.399999999999999" x14ac:dyDescent="0.55000000000000004">
      <c r="F2" s="110"/>
      <c r="G2" s="110"/>
      <c r="L2" s="111"/>
    </row>
    <row r="3" spans="1:12" x14ac:dyDescent="0.5">
      <c r="L3" s="111"/>
    </row>
    <row r="4" spans="1:12" ht="32.4" x14ac:dyDescent="0.75">
      <c r="A4" s="260" t="s">
        <v>1</v>
      </c>
      <c r="B4" s="261"/>
      <c r="C4" s="192"/>
      <c r="D4" s="112"/>
      <c r="E4" s="188"/>
      <c r="F4" s="184"/>
      <c r="G4" s="184"/>
      <c r="K4" s="259"/>
      <c r="L4" s="259"/>
    </row>
    <row r="5" spans="1:12" ht="32.4" x14ac:dyDescent="0.75">
      <c r="A5" s="191" t="s">
        <v>2</v>
      </c>
      <c r="B5" s="193"/>
      <c r="C5" s="113"/>
      <c r="D5" s="114"/>
      <c r="E5" s="188"/>
      <c r="F5" s="184"/>
      <c r="G5" s="184"/>
      <c r="J5" s="111"/>
    </row>
    <row r="6" spans="1:12" ht="32.4" x14ac:dyDescent="0.75">
      <c r="A6" s="191" t="s">
        <v>3</v>
      </c>
      <c r="B6" s="193"/>
      <c r="C6" s="194"/>
      <c r="D6" s="112"/>
      <c r="E6" s="188"/>
      <c r="F6" s="115"/>
      <c r="G6" s="115"/>
    </row>
    <row r="7" spans="1:12" ht="32.4" x14ac:dyDescent="0.75">
      <c r="A7" s="189"/>
      <c r="B7" s="190"/>
      <c r="C7" s="188"/>
      <c r="D7" s="114"/>
      <c r="E7" s="188"/>
    </row>
    <row r="8" spans="1:12" ht="26.4" x14ac:dyDescent="0.7">
      <c r="A8" s="116"/>
      <c r="B8" s="116"/>
      <c r="C8" s="116"/>
      <c r="D8" s="117"/>
      <c r="E8" s="188"/>
      <c r="J8" s="111"/>
    </row>
    <row r="9" spans="1:12" s="118" customFormat="1" ht="33" customHeight="1" x14ac:dyDescent="0.25">
      <c r="A9" s="181" t="s">
        <v>4</v>
      </c>
      <c r="B9" s="240" t="s">
        <v>5</v>
      </c>
      <c r="C9" s="181" t="s">
        <v>6</v>
      </c>
      <c r="D9" s="256" t="s">
        <v>7</v>
      </c>
      <c r="E9" s="257"/>
      <c r="F9" s="181" t="s">
        <v>8</v>
      </c>
      <c r="G9" s="240" t="s">
        <v>9</v>
      </c>
      <c r="H9" s="247" t="s">
        <v>10</v>
      </c>
      <c r="I9" s="248"/>
      <c r="J9" s="248"/>
      <c r="K9" s="249"/>
      <c r="L9" s="181" t="s">
        <v>11</v>
      </c>
    </row>
    <row r="10" spans="1:12" s="118" customFormat="1" ht="31.5" customHeight="1" x14ac:dyDescent="0.25">
      <c r="A10" s="195" t="s">
        <v>12</v>
      </c>
      <c r="B10" s="239" t="s">
        <v>13</v>
      </c>
      <c r="C10" s="195" t="s">
        <v>14</v>
      </c>
      <c r="D10" s="252" t="s">
        <v>15</v>
      </c>
      <c r="E10" s="253"/>
      <c r="F10" s="195" t="s">
        <v>16</v>
      </c>
      <c r="G10" s="239" t="s">
        <v>17</v>
      </c>
      <c r="H10" s="254" t="s">
        <v>18</v>
      </c>
      <c r="I10" s="255"/>
      <c r="J10" s="254" t="s">
        <v>19</v>
      </c>
      <c r="K10" s="255"/>
      <c r="L10" s="195" t="s">
        <v>20</v>
      </c>
    </row>
    <row r="11" spans="1:12" ht="41.25" customHeight="1" x14ac:dyDescent="0.85">
      <c r="A11" s="196">
        <v>1</v>
      </c>
      <c r="B11" s="119"/>
      <c r="C11" s="197"/>
      <c r="D11" s="241"/>
      <c r="E11" s="198"/>
      <c r="F11" s="197"/>
      <c r="G11" s="241"/>
      <c r="H11" s="250"/>
      <c r="I11" s="251"/>
      <c r="J11" s="250"/>
      <c r="K11" s="251"/>
      <c r="L11" s="197"/>
    </row>
    <row r="12" spans="1:12" ht="41.25" customHeight="1" x14ac:dyDescent="0.85">
      <c r="A12" s="196">
        <v>2</v>
      </c>
      <c r="B12" s="119"/>
      <c r="C12" s="197"/>
      <c r="D12" s="241"/>
      <c r="E12" s="198"/>
      <c r="F12" s="197"/>
      <c r="G12" s="241"/>
      <c r="H12" s="250"/>
      <c r="I12" s="251"/>
      <c r="J12" s="250"/>
      <c r="K12" s="251"/>
      <c r="L12" s="197"/>
    </row>
    <row r="13" spans="1:12" ht="41.25" customHeight="1" x14ac:dyDescent="0.85">
      <c r="A13" s="196">
        <v>3</v>
      </c>
      <c r="B13" s="119"/>
      <c r="C13" s="197"/>
      <c r="D13" s="241"/>
      <c r="E13" s="198"/>
      <c r="F13" s="197"/>
      <c r="G13" s="241"/>
      <c r="H13" s="250"/>
      <c r="I13" s="251"/>
      <c r="J13" s="250"/>
      <c r="K13" s="251"/>
      <c r="L13" s="197"/>
    </row>
    <row r="14" spans="1:12" ht="41.25" customHeight="1" x14ac:dyDescent="0.85">
      <c r="A14" s="196">
        <v>4</v>
      </c>
      <c r="B14" s="119"/>
      <c r="C14" s="197"/>
      <c r="D14" s="241"/>
      <c r="E14" s="198"/>
      <c r="F14" s="197"/>
      <c r="G14" s="241"/>
      <c r="H14" s="250"/>
      <c r="I14" s="251"/>
      <c r="J14" s="250"/>
      <c r="K14" s="251"/>
      <c r="L14" s="197"/>
    </row>
    <row r="15" spans="1:12" ht="41.25" customHeight="1" x14ac:dyDescent="0.7">
      <c r="A15" s="196">
        <v>5</v>
      </c>
      <c r="B15" s="119"/>
      <c r="C15" s="197"/>
      <c r="D15" s="241"/>
      <c r="E15" s="198"/>
      <c r="F15" s="197"/>
      <c r="G15" s="241"/>
      <c r="H15" s="245"/>
      <c r="I15" s="246"/>
      <c r="J15" s="245"/>
      <c r="K15" s="246"/>
      <c r="L15" s="197"/>
    </row>
    <row r="16" spans="1:12" ht="41.25" customHeight="1" x14ac:dyDescent="0.85">
      <c r="A16" s="196">
        <v>6</v>
      </c>
      <c r="B16" s="119"/>
      <c r="C16" s="197"/>
      <c r="D16" s="241"/>
      <c r="E16" s="198"/>
      <c r="F16" s="197"/>
      <c r="G16" s="241"/>
      <c r="H16" s="250"/>
      <c r="I16" s="251"/>
      <c r="J16" s="250"/>
      <c r="K16" s="251"/>
      <c r="L16" s="197"/>
    </row>
    <row r="17" spans="1:12" ht="41.25" customHeight="1" x14ac:dyDescent="0.7">
      <c r="A17" s="196">
        <v>7</v>
      </c>
      <c r="B17" s="119"/>
      <c r="C17" s="197"/>
      <c r="D17" s="241"/>
      <c r="E17" s="198"/>
      <c r="F17" s="197"/>
      <c r="G17" s="241"/>
      <c r="H17" s="245"/>
      <c r="I17" s="246"/>
      <c r="J17" s="245"/>
      <c r="K17" s="246"/>
      <c r="L17" s="197"/>
    </row>
    <row r="18" spans="1:12" ht="41.25" customHeight="1" x14ac:dyDescent="0.7">
      <c r="A18" s="196">
        <v>8</v>
      </c>
      <c r="B18" s="197"/>
      <c r="C18" s="197"/>
      <c r="D18" s="241"/>
      <c r="E18" s="198"/>
      <c r="F18" s="197"/>
      <c r="G18" s="241"/>
      <c r="H18" s="245"/>
      <c r="I18" s="246"/>
      <c r="J18" s="245"/>
      <c r="K18" s="246"/>
      <c r="L18" s="197"/>
    </row>
    <row r="19" spans="1:12" ht="41.25" customHeight="1" x14ac:dyDescent="0.7">
      <c r="A19" s="196">
        <v>9</v>
      </c>
      <c r="B19" s="197"/>
      <c r="C19" s="197"/>
      <c r="D19" s="241"/>
      <c r="E19" s="198"/>
      <c r="F19" s="197"/>
      <c r="G19" s="241"/>
      <c r="H19" s="245"/>
      <c r="I19" s="246"/>
      <c r="J19" s="245"/>
      <c r="K19" s="246"/>
      <c r="L19" s="197"/>
    </row>
    <row r="20" spans="1:12" ht="41.25" customHeight="1" x14ac:dyDescent="0.7">
      <c r="A20" s="196">
        <v>10</v>
      </c>
      <c r="B20" s="197"/>
      <c r="C20" s="197"/>
      <c r="D20" s="241"/>
      <c r="E20" s="198"/>
      <c r="F20" s="197"/>
      <c r="G20" s="241"/>
      <c r="H20" s="245"/>
      <c r="I20" s="246"/>
      <c r="J20" s="245"/>
      <c r="K20" s="246"/>
      <c r="L20" s="197"/>
    </row>
    <row r="21" spans="1:12" ht="41.25" customHeight="1" x14ac:dyDescent="0.7">
      <c r="A21" s="196">
        <v>11</v>
      </c>
      <c r="B21" s="197"/>
      <c r="C21" s="197"/>
      <c r="D21" s="241"/>
      <c r="E21" s="198"/>
      <c r="F21" s="197"/>
      <c r="G21" s="241"/>
      <c r="H21" s="245"/>
      <c r="I21" s="246"/>
      <c r="J21" s="245"/>
      <c r="K21" s="246"/>
      <c r="L21" s="197"/>
    </row>
    <row r="22" spans="1:12" ht="41.25" customHeight="1" x14ac:dyDescent="0.7">
      <c r="A22" s="196">
        <v>12</v>
      </c>
      <c r="B22" s="197"/>
      <c r="C22" s="197"/>
      <c r="D22" s="241"/>
      <c r="E22" s="198"/>
      <c r="F22" s="197"/>
      <c r="G22" s="241"/>
      <c r="H22" s="245"/>
      <c r="I22" s="246"/>
      <c r="J22" s="245"/>
      <c r="K22" s="246"/>
      <c r="L22" s="197"/>
    </row>
    <row r="23" spans="1:12" ht="41.25" customHeight="1" x14ac:dyDescent="0.7">
      <c r="A23" s="196">
        <v>13</v>
      </c>
      <c r="B23" s="197"/>
      <c r="C23" s="197"/>
      <c r="D23" s="241"/>
      <c r="E23" s="198"/>
      <c r="F23" s="197"/>
      <c r="G23" s="241"/>
      <c r="H23" s="245"/>
      <c r="I23" s="246"/>
      <c r="J23" s="245"/>
      <c r="K23" s="246"/>
      <c r="L23" s="197"/>
    </row>
    <row r="24" spans="1:12" ht="41.25" customHeight="1" x14ac:dyDescent="0.7">
      <c r="A24" s="196">
        <v>14</v>
      </c>
      <c r="B24" s="197"/>
      <c r="C24" s="197"/>
      <c r="D24" s="241"/>
      <c r="E24" s="198"/>
      <c r="F24" s="197"/>
      <c r="G24" s="241"/>
      <c r="H24" s="245"/>
      <c r="I24" s="246"/>
      <c r="J24" s="245"/>
      <c r="K24" s="246"/>
      <c r="L24" s="197"/>
    </row>
    <row r="25" spans="1:12" ht="41.25" customHeight="1" x14ac:dyDescent="0.7">
      <c r="A25" s="196">
        <v>15</v>
      </c>
      <c r="B25" s="197"/>
      <c r="C25" s="197"/>
      <c r="D25" s="241"/>
      <c r="E25" s="198"/>
      <c r="F25" s="197"/>
      <c r="G25" s="241"/>
      <c r="H25" s="245"/>
      <c r="I25" s="246"/>
      <c r="J25" s="245"/>
      <c r="K25" s="246"/>
      <c r="L25" s="197"/>
    </row>
    <row r="26" spans="1:12" ht="26.4" x14ac:dyDescent="0.55000000000000004">
      <c r="A26" s="186"/>
      <c r="H26" s="183"/>
      <c r="I26" s="183"/>
      <c r="J26" s="118"/>
      <c r="K26" s="118"/>
    </row>
    <row r="27" spans="1:12" ht="25.8" x14ac:dyDescent="0.65">
      <c r="A27" s="116" t="s">
        <v>21</v>
      </c>
      <c r="L27" s="187"/>
    </row>
    <row r="28" spans="1:12" ht="26.4" x14ac:dyDescent="0.7">
      <c r="L28" s="185" t="s">
        <v>22</v>
      </c>
    </row>
  </sheetData>
  <mergeCells count="38">
    <mergeCell ref="D10:E10"/>
    <mergeCell ref="H10:I10"/>
    <mergeCell ref="J10:K10"/>
    <mergeCell ref="D9:E9"/>
    <mergeCell ref="A1:L1"/>
    <mergeCell ref="K4:L4"/>
    <mergeCell ref="A4:B4"/>
    <mergeCell ref="H13:I13"/>
    <mergeCell ref="J13:K13"/>
    <mergeCell ref="H14:I14"/>
    <mergeCell ref="J14:K14"/>
    <mergeCell ref="H11:I11"/>
    <mergeCell ref="J11:K11"/>
    <mergeCell ref="H12:I12"/>
    <mergeCell ref="J12:K12"/>
    <mergeCell ref="J17:K17"/>
    <mergeCell ref="H18:I18"/>
    <mergeCell ref="J18:K18"/>
    <mergeCell ref="H15:I15"/>
    <mergeCell ref="J15:K15"/>
    <mergeCell ref="H16:I16"/>
    <mergeCell ref="J16:K16"/>
    <mergeCell ref="H25:I25"/>
    <mergeCell ref="J25:K25"/>
    <mergeCell ref="H9:K9"/>
    <mergeCell ref="H23:I23"/>
    <mergeCell ref="J23:K23"/>
    <mergeCell ref="H24:I24"/>
    <mergeCell ref="J24:K24"/>
    <mergeCell ref="H21:I21"/>
    <mergeCell ref="J21:K21"/>
    <mergeCell ref="H22:I22"/>
    <mergeCell ref="J22:K22"/>
    <mergeCell ref="H19:I19"/>
    <mergeCell ref="J19:K19"/>
    <mergeCell ref="H20:I20"/>
    <mergeCell ref="J20:K20"/>
    <mergeCell ref="H17:I17"/>
  </mergeCells>
  <printOptions horizontalCentered="1"/>
  <pageMargins left="0.25" right="0.25" top="0.5" bottom="0.5" header="0.3" footer="0.3"/>
  <pageSetup paperSize="9" scale="52" orientation="landscape" r:id="rId1"/>
  <headerFooter>
    <oddHeader>&amp;L(Food Retailer &amp; Food Service_02)</oddHeader>
    <oddFooter>&amp;C&amp;A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01"/>
  <sheetViews>
    <sheetView showGridLines="0" zoomScale="60" zoomScaleNormal="60" workbookViewId="0">
      <selection activeCell="F10" sqref="F10"/>
    </sheetView>
  </sheetViews>
  <sheetFormatPr defaultColWidth="9" defaultRowHeight="23.4" x14ac:dyDescent="0.6"/>
  <cols>
    <col min="1" max="1" width="4.69921875" style="158" customWidth="1"/>
    <col min="2" max="2" width="14" style="158" customWidth="1"/>
    <col min="3" max="3" width="22" style="158" customWidth="1"/>
    <col min="4" max="4" width="35.69921875" style="159" customWidth="1"/>
    <col min="5" max="5" width="33.3984375" style="159" customWidth="1"/>
    <col min="6" max="6" width="23.59765625" style="159" customWidth="1"/>
    <col min="7" max="7" width="15.3984375" style="159" customWidth="1"/>
    <col min="8" max="8" width="17.69921875" style="159" customWidth="1"/>
    <col min="9" max="9" width="20.59765625" style="159" customWidth="1"/>
    <col min="10" max="16384" width="9" style="159"/>
  </cols>
  <sheetData>
    <row r="2" spans="1:9" ht="32.4" x14ac:dyDescent="0.85">
      <c r="D2" s="262" t="s">
        <v>23</v>
      </c>
      <c r="E2" s="262"/>
      <c r="F2" s="262"/>
      <c r="G2" s="262"/>
      <c r="H2" s="262"/>
      <c r="I2" s="262"/>
    </row>
    <row r="3" spans="1:9" ht="28.8" x14ac:dyDescent="0.75">
      <c r="D3" s="160"/>
    </row>
    <row r="4" spans="1:9" ht="24" thickBot="1" x14ac:dyDescent="0.65">
      <c r="A4" s="158" t="s">
        <v>24</v>
      </c>
      <c r="D4" s="161"/>
    </row>
    <row r="5" spans="1:9" ht="24" thickBot="1" x14ac:dyDescent="0.65">
      <c r="A5" s="159"/>
      <c r="B5" s="159"/>
      <c r="C5" s="159"/>
      <c r="H5" s="263" t="s">
        <v>25</v>
      </c>
      <c r="I5" s="264"/>
    </row>
    <row r="6" spans="1:9" s="167" customFormat="1" ht="24" thickBot="1" x14ac:dyDescent="0.65">
      <c r="A6" s="162" t="s">
        <v>12</v>
      </c>
      <c r="B6" s="162" t="s">
        <v>26</v>
      </c>
      <c r="C6" s="182" t="s">
        <v>27</v>
      </c>
      <c r="D6" s="163" t="s">
        <v>28</v>
      </c>
      <c r="E6" s="163" t="s">
        <v>29</v>
      </c>
      <c r="F6" s="163" t="s">
        <v>30</v>
      </c>
      <c r="G6" s="164" t="s">
        <v>31</v>
      </c>
      <c r="H6" s="165" t="s">
        <v>32</v>
      </c>
      <c r="I6" s="166" t="s">
        <v>33</v>
      </c>
    </row>
    <row r="7" spans="1:9" ht="36.75" customHeight="1" x14ac:dyDescent="0.6">
      <c r="A7" s="168"/>
      <c r="B7" s="168"/>
      <c r="C7" s="168"/>
      <c r="D7" s="169"/>
      <c r="E7" s="169"/>
      <c r="F7" s="169"/>
      <c r="G7" s="170"/>
      <c r="H7" s="171"/>
      <c r="I7" s="172"/>
    </row>
    <row r="8" spans="1:9" ht="36.75" customHeight="1" x14ac:dyDescent="0.6">
      <c r="A8" s="173"/>
      <c r="B8" s="173"/>
      <c r="C8" s="173"/>
      <c r="D8" s="174"/>
      <c r="E8" s="174"/>
      <c r="F8" s="174"/>
      <c r="G8" s="175"/>
      <c r="H8" s="176"/>
      <c r="I8" s="177"/>
    </row>
    <row r="9" spans="1:9" ht="36.75" customHeight="1" x14ac:dyDescent="0.6">
      <c r="A9" s="173"/>
      <c r="B9" s="173"/>
      <c r="C9" s="173"/>
      <c r="D9" s="174"/>
      <c r="E9" s="174"/>
      <c r="F9" s="174"/>
      <c r="G9" s="175"/>
      <c r="H9" s="176"/>
      <c r="I9" s="177"/>
    </row>
    <row r="10" spans="1:9" ht="36.75" customHeight="1" x14ac:dyDescent="0.6">
      <c r="A10" s="173"/>
      <c r="B10" s="168"/>
      <c r="C10" s="168"/>
      <c r="D10" s="169"/>
      <c r="E10" s="174"/>
      <c r="F10" s="174"/>
      <c r="G10" s="175"/>
      <c r="H10" s="176"/>
      <c r="I10" s="177"/>
    </row>
    <row r="11" spans="1:9" ht="36.75" customHeight="1" x14ac:dyDescent="0.6">
      <c r="A11" s="173"/>
      <c r="B11" s="173"/>
      <c r="C11" s="173"/>
      <c r="D11" s="174"/>
      <c r="E11" s="174"/>
      <c r="F11" s="174"/>
      <c r="G11" s="175"/>
      <c r="H11" s="176"/>
      <c r="I11" s="177"/>
    </row>
    <row r="12" spans="1:9" ht="36.75" customHeight="1" x14ac:dyDescent="0.6">
      <c r="A12" s="173"/>
      <c r="B12" s="173"/>
      <c r="C12" s="173"/>
      <c r="D12" s="174"/>
      <c r="E12" s="174"/>
      <c r="F12" s="174"/>
      <c r="G12" s="175"/>
      <c r="H12" s="176"/>
      <c r="I12" s="177"/>
    </row>
    <row r="13" spans="1:9" ht="36.75" customHeight="1" x14ac:dyDescent="0.6">
      <c r="A13" s="173"/>
      <c r="B13" s="168"/>
      <c r="C13" s="168"/>
      <c r="D13" s="169"/>
      <c r="E13" s="174"/>
      <c r="F13" s="174"/>
      <c r="G13" s="175"/>
      <c r="H13" s="176"/>
      <c r="I13" s="177"/>
    </row>
    <row r="14" spans="1:9" ht="36.75" customHeight="1" x14ac:dyDescent="0.6">
      <c r="A14" s="173"/>
      <c r="B14" s="173"/>
      <c r="C14" s="173"/>
      <c r="D14" s="174"/>
      <c r="E14" s="174"/>
      <c r="F14" s="174"/>
      <c r="G14" s="175"/>
      <c r="H14" s="176"/>
      <c r="I14" s="177"/>
    </row>
    <row r="15" spans="1:9" ht="36.75" customHeight="1" x14ac:dyDescent="0.6">
      <c r="A15" s="173"/>
      <c r="B15" s="173"/>
      <c r="C15" s="173"/>
      <c r="D15" s="174"/>
      <c r="E15" s="174"/>
      <c r="F15" s="174"/>
      <c r="G15" s="175"/>
      <c r="H15" s="176"/>
      <c r="I15" s="177"/>
    </row>
    <row r="16" spans="1:9" ht="36.75" customHeight="1" x14ac:dyDescent="0.6">
      <c r="A16" s="173"/>
      <c r="B16" s="168"/>
      <c r="C16" s="168"/>
      <c r="D16" s="169"/>
      <c r="E16" s="174"/>
      <c r="F16" s="174"/>
      <c r="G16" s="175"/>
      <c r="H16" s="176"/>
      <c r="I16" s="177"/>
    </row>
    <row r="17" spans="1:9" ht="36.75" customHeight="1" x14ac:dyDescent="0.6">
      <c r="A17" s="173"/>
      <c r="B17" s="173"/>
      <c r="C17" s="173"/>
      <c r="D17" s="174"/>
      <c r="E17" s="174"/>
      <c r="F17" s="174"/>
      <c r="G17" s="175"/>
      <c r="H17" s="176"/>
      <c r="I17" s="177"/>
    </row>
    <row r="18" spans="1:9" ht="36.75" customHeight="1" x14ac:dyDescent="0.6">
      <c r="A18" s="173"/>
      <c r="B18" s="173"/>
      <c r="C18" s="173"/>
      <c r="D18" s="174"/>
      <c r="E18" s="174"/>
      <c r="F18" s="174"/>
      <c r="G18" s="175"/>
      <c r="H18" s="176"/>
      <c r="I18" s="177"/>
    </row>
    <row r="19" spans="1:9" ht="36.75" customHeight="1" x14ac:dyDescent="0.6">
      <c r="A19" s="173"/>
      <c r="B19" s="173"/>
      <c r="C19" s="173"/>
      <c r="D19" s="174"/>
      <c r="E19" s="174"/>
      <c r="F19" s="174"/>
      <c r="G19" s="175"/>
      <c r="H19" s="176"/>
      <c r="I19" s="177"/>
    </row>
    <row r="20" spans="1:9" ht="36.75" customHeight="1" x14ac:dyDescent="0.6">
      <c r="A20" s="173"/>
      <c r="B20" s="173"/>
      <c r="C20" s="173"/>
      <c r="D20" s="174"/>
      <c r="E20" s="174"/>
      <c r="F20" s="174"/>
      <c r="G20" s="175"/>
      <c r="H20" s="176"/>
      <c r="I20" s="177"/>
    </row>
    <row r="21" spans="1:9" ht="36.75" customHeight="1" x14ac:dyDescent="0.6">
      <c r="A21" s="173"/>
      <c r="B21" s="173"/>
      <c r="C21" s="173"/>
      <c r="D21" s="174"/>
      <c r="E21" s="174"/>
      <c r="F21" s="174"/>
      <c r="G21" s="175"/>
      <c r="H21" s="176"/>
      <c r="I21" s="177"/>
    </row>
    <row r="22" spans="1:9" ht="36.75" customHeight="1" x14ac:dyDescent="0.6">
      <c r="A22" s="173"/>
      <c r="B22" s="173"/>
      <c r="C22" s="173"/>
      <c r="D22" s="174"/>
      <c r="E22" s="174"/>
      <c r="F22" s="174"/>
      <c r="G22" s="175"/>
      <c r="H22" s="176"/>
      <c r="I22" s="177"/>
    </row>
    <row r="23" spans="1:9" ht="36.75" customHeight="1" x14ac:dyDescent="0.6">
      <c r="A23" s="173"/>
      <c r="B23" s="173"/>
      <c r="C23" s="173"/>
      <c r="D23" s="174"/>
      <c r="E23" s="174"/>
      <c r="F23" s="174"/>
      <c r="G23" s="175"/>
      <c r="H23" s="176"/>
      <c r="I23" s="177"/>
    </row>
    <row r="24" spans="1:9" ht="36.75" customHeight="1" x14ac:dyDescent="0.6">
      <c r="A24" s="173"/>
      <c r="B24" s="173"/>
      <c r="C24" s="173"/>
      <c r="D24" s="174"/>
      <c r="E24" s="174"/>
      <c r="F24" s="174"/>
      <c r="G24" s="175"/>
      <c r="H24" s="176"/>
      <c r="I24" s="177"/>
    </row>
    <row r="25" spans="1:9" ht="36.75" customHeight="1" x14ac:dyDescent="0.6">
      <c r="A25" s="173"/>
      <c r="B25" s="173"/>
      <c r="C25" s="173"/>
      <c r="D25" s="174"/>
      <c r="E25" s="174"/>
      <c r="F25" s="174"/>
      <c r="G25" s="175"/>
      <c r="H25" s="176"/>
      <c r="I25" s="177"/>
    </row>
    <row r="26" spans="1:9" ht="36.75" customHeight="1" x14ac:dyDescent="0.6">
      <c r="A26" s="173"/>
      <c r="B26" s="173"/>
      <c r="C26" s="173"/>
      <c r="D26" s="174"/>
      <c r="E26" s="174"/>
      <c r="F26" s="174"/>
      <c r="G26" s="175"/>
      <c r="H26" s="176"/>
      <c r="I26" s="177"/>
    </row>
    <row r="27" spans="1:9" ht="36.75" customHeight="1" x14ac:dyDescent="0.6">
      <c r="A27" s="173"/>
      <c r="B27" s="173"/>
      <c r="C27" s="173"/>
      <c r="D27" s="174"/>
      <c r="E27" s="174"/>
      <c r="F27" s="174"/>
      <c r="G27" s="175"/>
      <c r="H27" s="176"/>
      <c r="I27" s="177"/>
    </row>
    <row r="28" spans="1:9" ht="36.75" customHeight="1" x14ac:dyDescent="0.6">
      <c r="A28" s="173"/>
      <c r="B28" s="173"/>
      <c r="C28" s="173"/>
      <c r="D28" s="174"/>
      <c r="E28" s="174"/>
      <c r="F28" s="174"/>
      <c r="G28" s="175"/>
      <c r="H28" s="176"/>
      <c r="I28" s="177"/>
    </row>
    <row r="29" spans="1:9" ht="36.75" customHeight="1" x14ac:dyDescent="0.6">
      <c r="A29" s="173"/>
      <c r="B29" s="173"/>
      <c r="C29" s="173"/>
      <c r="D29" s="174"/>
      <c r="E29" s="174"/>
      <c r="F29" s="174"/>
      <c r="G29" s="175"/>
      <c r="H29" s="176"/>
      <c r="I29" s="177"/>
    </row>
    <row r="30" spans="1:9" ht="36.75" customHeight="1" x14ac:dyDescent="0.6">
      <c r="A30" s="173"/>
      <c r="B30" s="173"/>
      <c r="C30" s="173"/>
      <c r="D30" s="174"/>
      <c r="E30" s="174"/>
      <c r="F30" s="174"/>
      <c r="G30" s="175"/>
      <c r="H30" s="176"/>
      <c r="I30" s="177"/>
    </row>
    <row r="31" spans="1:9" ht="36.75" customHeight="1" x14ac:dyDescent="0.6">
      <c r="A31" s="173"/>
      <c r="B31" s="173"/>
      <c r="C31" s="173"/>
      <c r="D31" s="174"/>
      <c r="E31" s="174"/>
      <c r="F31" s="174"/>
      <c r="G31" s="175"/>
      <c r="H31" s="176"/>
      <c r="I31" s="177"/>
    </row>
    <row r="32" spans="1:9" ht="36.75" customHeight="1" x14ac:dyDescent="0.6">
      <c r="A32" s="173"/>
      <c r="B32" s="173"/>
      <c r="C32" s="173"/>
      <c r="D32" s="174"/>
      <c r="E32" s="174"/>
      <c r="F32" s="174"/>
      <c r="G32" s="175"/>
      <c r="H32" s="176"/>
      <c r="I32" s="177"/>
    </row>
    <row r="33" spans="1:9" ht="36.75" customHeight="1" x14ac:dyDescent="0.6">
      <c r="A33" s="173"/>
      <c r="B33" s="173"/>
      <c r="C33" s="173"/>
      <c r="D33" s="174"/>
      <c r="E33" s="174"/>
      <c r="F33" s="174"/>
      <c r="G33" s="175"/>
      <c r="H33" s="176"/>
      <c r="I33" s="177"/>
    </row>
    <row r="34" spans="1:9" ht="36.75" customHeight="1" x14ac:dyDescent="0.6">
      <c r="A34" s="173"/>
      <c r="B34" s="173"/>
      <c r="C34" s="173"/>
      <c r="D34" s="174"/>
      <c r="E34" s="174"/>
      <c r="F34" s="174"/>
      <c r="G34" s="175"/>
      <c r="H34" s="176"/>
      <c r="I34" s="177"/>
    </row>
    <row r="35" spans="1:9" ht="36.75" customHeight="1" x14ac:dyDescent="0.6">
      <c r="A35" s="173"/>
      <c r="B35" s="173"/>
      <c r="C35" s="173"/>
      <c r="D35" s="174"/>
      <c r="E35" s="174"/>
      <c r="F35" s="174"/>
      <c r="G35" s="175"/>
      <c r="H35" s="176"/>
      <c r="I35" s="177"/>
    </row>
    <row r="36" spans="1:9" ht="36.75" customHeight="1" x14ac:dyDescent="0.6">
      <c r="A36" s="173"/>
      <c r="B36" s="173"/>
      <c r="C36" s="173"/>
      <c r="D36" s="174"/>
      <c r="E36" s="174"/>
      <c r="F36" s="174"/>
      <c r="G36" s="175"/>
      <c r="H36" s="176"/>
      <c r="I36" s="177"/>
    </row>
    <row r="37" spans="1:9" ht="36.75" customHeight="1" x14ac:dyDescent="0.6">
      <c r="A37" s="173"/>
      <c r="B37" s="173"/>
      <c r="C37" s="173"/>
      <c r="D37" s="174"/>
      <c r="E37" s="174"/>
      <c r="F37" s="174"/>
      <c r="G37" s="175"/>
      <c r="H37" s="176"/>
      <c r="I37" s="177"/>
    </row>
    <row r="38" spans="1:9" ht="36.75" customHeight="1" x14ac:dyDescent="0.6">
      <c r="A38" s="173"/>
      <c r="B38" s="173"/>
      <c r="C38" s="173"/>
      <c r="D38" s="174"/>
      <c r="E38" s="174"/>
      <c r="F38" s="174"/>
      <c r="G38" s="175"/>
      <c r="H38" s="176"/>
      <c r="I38" s="177"/>
    </row>
    <row r="39" spans="1:9" ht="36.75" customHeight="1" x14ac:dyDescent="0.6">
      <c r="A39" s="173"/>
      <c r="B39" s="173"/>
      <c r="C39" s="173"/>
      <c r="D39" s="174"/>
      <c r="E39" s="174"/>
      <c r="F39" s="174"/>
      <c r="G39" s="175"/>
      <c r="H39" s="176"/>
      <c r="I39" s="177"/>
    </row>
    <row r="40" spans="1:9" ht="36.75" customHeight="1" x14ac:dyDescent="0.6">
      <c r="A40" s="173"/>
      <c r="B40" s="173"/>
      <c r="C40" s="173"/>
      <c r="D40" s="174"/>
      <c r="E40" s="174"/>
      <c r="F40" s="174"/>
      <c r="G40" s="175"/>
      <c r="H40" s="176"/>
      <c r="I40" s="177"/>
    </row>
    <row r="41" spans="1:9" ht="36.75" customHeight="1" x14ac:dyDescent="0.6">
      <c r="A41" s="173"/>
      <c r="B41" s="173"/>
      <c r="C41" s="173"/>
      <c r="D41" s="174"/>
      <c r="E41" s="174"/>
      <c r="F41" s="174"/>
      <c r="G41" s="175"/>
      <c r="H41" s="176"/>
      <c r="I41" s="177"/>
    </row>
    <row r="42" spans="1:9" ht="36.75" customHeight="1" x14ac:dyDescent="0.6">
      <c r="A42" s="173"/>
      <c r="B42" s="173"/>
      <c r="C42" s="173"/>
      <c r="D42" s="174"/>
      <c r="E42" s="174"/>
      <c r="F42" s="174"/>
      <c r="G42" s="175"/>
      <c r="H42" s="176"/>
      <c r="I42" s="177"/>
    </row>
    <row r="43" spans="1:9" ht="36.75" customHeight="1" x14ac:dyDescent="0.6">
      <c r="A43" s="173"/>
      <c r="B43" s="173"/>
      <c r="C43" s="173"/>
      <c r="D43" s="174"/>
      <c r="E43" s="174"/>
      <c r="F43" s="174"/>
      <c r="G43" s="175"/>
      <c r="H43" s="176"/>
      <c r="I43" s="177"/>
    </row>
    <row r="44" spans="1:9" ht="36.75" customHeight="1" x14ac:dyDescent="0.6">
      <c r="A44" s="173"/>
      <c r="B44" s="173"/>
      <c r="C44" s="173"/>
      <c r="D44" s="174"/>
      <c r="E44" s="174"/>
      <c r="F44" s="174"/>
      <c r="G44" s="175"/>
      <c r="H44" s="176"/>
      <c r="I44" s="177"/>
    </row>
    <row r="45" spans="1:9" ht="36.75" customHeight="1" x14ac:dyDescent="0.6">
      <c r="A45" s="173"/>
      <c r="B45" s="173"/>
      <c r="C45" s="173"/>
      <c r="D45" s="174"/>
      <c r="E45" s="174"/>
      <c r="F45" s="174"/>
      <c r="G45" s="175"/>
      <c r="H45" s="176"/>
      <c r="I45" s="177"/>
    </row>
    <row r="46" spans="1:9" ht="36.75" customHeight="1" x14ac:dyDescent="0.6">
      <c r="A46" s="173"/>
      <c r="B46" s="173"/>
      <c r="C46" s="173"/>
      <c r="D46" s="174"/>
      <c r="E46" s="174"/>
      <c r="F46" s="174"/>
      <c r="G46" s="175"/>
      <c r="H46" s="176"/>
      <c r="I46" s="177"/>
    </row>
    <row r="47" spans="1:9" ht="36.75" customHeight="1" x14ac:dyDescent="0.6">
      <c r="A47" s="173"/>
      <c r="B47" s="173"/>
      <c r="C47" s="173"/>
      <c r="D47" s="174"/>
      <c r="E47" s="174"/>
      <c r="F47" s="174"/>
      <c r="G47" s="175"/>
      <c r="H47" s="176"/>
      <c r="I47" s="177"/>
    </row>
    <row r="48" spans="1:9" ht="36.75" customHeight="1" x14ac:dyDescent="0.6">
      <c r="A48" s="173"/>
      <c r="B48" s="173"/>
      <c r="C48" s="173"/>
      <c r="D48" s="174"/>
      <c r="E48" s="174"/>
      <c r="F48" s="174"/>
      <c r="G48" s="175"/>
      <c r="H48" s="176"/>
      <c r="I48" s="177"/>
    </row>
    <row r="49" spans="1:9" ht="36.75" customHeight="1" x14ac:dyDescent="0.6">
      <c r="A49" s="173"/>
      <c r="B49" s="173"/>
      <c r="C49" s="173"/>
      <c r="D49" s="174"/>
      <c r="E49" s="174"/>
      <c r="F49" s="174"/>
      <c r="G49" s="175"/>
      <c r="H49" s="176"/>
      <c r="I49" s="177"/>
    </row>
    <row r="50" spans="1:9" ht="36.75" customHeight="1" x14ac:dyDescent="0.6">
      <c r="A50" s="173"/>
      <c r="B50" s="173"/>
      <c r="C50" s="173"/>
      <c r="D50" s="174"/>
      <c r="E50" s="174"/>
      <c r="F50" s="174"/>
      <c r="G50" s="175"/>
      <c r="H50" s="176"/>
      <c r="I50" s="177"/>
    </row>
    <row r="51" spans="1:9" ht="36.75" customHeight="1" x14ac:dyDescent="0.6">
      <c r="A51" s="173"/>
      <c r="B51" s="173"/>
      <c r="C51" s="173"/>
      <c r="D51" s="174"/>
      <c r="E51" s="174"/>
      <c r="F51" s="174"/>
      <c r="G51" s="175"/>
      <c r="H51" s="176"/>
      <c r="I51" s="177"/>
    </row>
    <row r="52" spans="1:9" ht="36.75" customHeight="1" x14ac:dyDescent="0.6">
      <c r="A52" s="173"/>
      <c r="B52" s="173"/>
      <c r="C52" s="173"/>
      <c r="D52" s="174"/>
      <c r="E52" s="174"/>
      <c r="F52" s="174"/>
      <c r="G52" s="175"/>
      <c r="H52" s="176"/>
      <c r="I52" s="177"/>
    </row>
    <row r="53" spans="1:9" ht="36.75" customHeight="1" x14ac:dyDescent="0.6">
      <c r="A53" s="173"/>
      <c r="B53" s="173"/>
      <c r="C53" s="173"/>
      <c r="D53" s="174"/>
      <c r="E53" s="174"/>
      <c r="F53" s="174"/>
      <c r="G53" s="175"/>
      <c r="H53" s="176"/>
      <c r="I53" s="177"/>
    </row>
    <row r="54" spans="1:9" ht="36.75" customHeight="1" x14ac:dyDescent="0.6">
      <c r="A54" s="173"/>
      <c r="B54" s="173"/>
      <c r="C54" s="173"/>
      <c r="D54" s="174"/>
      <c r="E54" s="174"/>
      <c r="F54" s="174"/>
      <c r="G54" s="175"/>
      <c r="H54" s="176"/>
      <c r="I54" s="177"/>
    </row>
    <row r="55" spans="1:9" ht="36.75" customHeight="1" x14ac:dyDescent="0.6">
      <c r="A55" s="173"/>
      <c r="B55" s="173"/>
      <c r="C55" s="173"/>
      <c r="D55" s="174"/>
      <c r="E55" s="174"/>
      <c r="F55" s="174"/>
      <c r="G55" s="175"/>
      <c r="H55" s="176"/>
      <c r="I55" s="177"/>
    </row>
    <row r="56" spans="1:9" ht="36.75" customHeight="1" x14ac:dyDescent="0.6">
      <c r="A56" s="173"/>
      <c r="B56" s="173"/>
      <c r="C56" s="173"/>
      <c r="D56" s="174"/>
      <c r="E56" s="174"/>
      <c r="F56" s="174"/>
      <c r="G56" s="175"/>
      <c r="H56" s="176"/>
      <c r="I56" s="177"/>
    </row>
    <row r="57" spans="1:9" ht="36.75" customHeight="1" x14ac:dyDescent="0.6">
      <c r="A57" s="173"/>
      <c r="B57" s="173"/>
      <c r="C57" s="173"/>
      <c r="D57" s="174"/>
      <c r="E57" s="174"/>
      <c r="F57" s="174"/>
      <c r="G57" s="175"/>
      <c r="H57" s="176"/>
      <c r="I57" s="177"/>
    </row>
    <row r="58" spans="1:9" ht="36.75" customHeight="1" x14ac:dyDescent="0.6">
      <c r="A58" s="173"/>
      <c r="B58" s="173"/>
      <c r="C58" s="173"/>
      <c r="D58" s="174"/>
      <c r="E58" s="174"/>
      <c r="F58" s="174"/>
      <c r="G58" s="175"/>
      <c r="H58" s="176"/>
      <c r="I58" s="177"/>
    </row>
    <row r="59" spans="1:9" ht="36.75" customHeight="1" x14ac:dyDescent="0.6">
      <c r="A59" s="173"/>
      <c r="B59" s="173"/>
      <c r="C59" s="173"/>
      <c r="D59" s="174"/>
      <c r="E59" s="174"/>
      <c r="F59" s="174"/>
      <c r="G59" s="175"/>
      <c r="H59" s="176"/>
      <c r="I59" s="177"/>
    </row>
    <row r="60" spans="1:9" ht="36.75" customHeight="1" x14ac:dyDescent="0.6">
      <c r="A60" s="173"/>
      <c r="B60" s="173"/>
      <c r="C60" s="173"/>
      <c r="D60" s="174"/>
      <c r="E60" s="174"/>
      <c r="F60" s="174"/>
      <c r="G60" s="175"/>
      <c r="H60" s="176"/>
      <c r="I60" s="177"/>
    </row>
    <row r="61" spans="1:9" ht="36.75" customHeight="1" x14ac:dyDescent="0.6">
      <c r="A61" s="173"/>
      <c r="B61" s="173"/>
      <c r="C61" s="173"/>
      <c r="D61" s="174"/>
      <c r="E61" s="174"/>
      <c r="F61" s="174"/>
      <c r="G61" s="175"/>
      <c r="H61" s="176"/>
      <c r="I61" s="177"/>
    </row>
    <row r="62" spans="1:9" ht="36.75" customHeight="1" x14ac:dyDescent="0.6">
      <c r="A62" s="173"/>
      <c r="B62" s="173"/>
      <c r="C62" s="173"/>
      <c r="D62" s="174"/>
      <c r="E62" s="174"/>
      <c r="F62" s="174"/>
      <c r="G62" s="175"/>
      <c r="H62" s="176"/>
      <c r="I62" s="177"/>
    </row>
    <row r="63" spans="1:9" ht="36.75" customHeight="1" x14ac:dyDescent="0.6">
      <c r="A63" s="173"/>
      <c r="B63" s="173"/>
      <c r="C63" s="173"/>
      <c r="D63" s="174"/>
      <c r="E63" s="174"/>
      <c r="F63" s="174"/>
      <c r="G63" s="175"/>
      <c r="H63" s="176"/>
      <c r="I63" s="177"/>
    </row>
    <row r="64" spans="1:9" ht="36.75" customHeight="1" x14ac:dyDescent="0.6">
      <c r="A64" s="173"/>
      <c r="B64" s="173"/>
      <c r="C64" s="173"/>
      <c r="D64" s="174"/>
      <c r="E64" s="174"/>
      <c r="F64" s="174"/>
      <c r="G64" s="175"/>
      <c r="H64" s="176"/>
      <c r="I64" s="177"/>
    </row>
    <row r="65" spans="1:9" ht="36.75" customHeight="1" x14ac:dyDescent="0.6">
      <c r="A65" s="173"/>
      <c r="B65" s="173"/>
      <c r="C65" s="173"/>
      <c r="D65" s="174"/>
      <c r="E65" s="174"/>
      <c r="F65" s="174"/>
      <c r="G65" s="175"/>
      <c r="H65" s="176"/>
      <c r="I65" s="177"/>
    </row>
    <row r="66" spans="1:9" ht="36.75" customHeight="1" x14ac:dyDescent="0.6">
      <c r="A66" s="173"/>
      <c r="B66" s="173"/>
      <c r="C66" s="173"/>
      <c r="D66" s="174"/>
      <c r="E66" s="174"/>
      <c r="F66" s="174"/>
      <c r="G66" s="175"/>
      <c r="H66" s="176"/>
      <c r="I66" s="177"/>
    </row>
    <row r="67" spans="1:9" ht="36.75" customHeight="1" x14ac:dyDescent="0.6">
      <c r="A67" s="173"/>
      <c r="B67" s="173"/>
      <c r="C67" s="173"/>
      <c r="D67" s="174"/>
      <c r="E67" s="174"/>
      <c r="F67" s="174"/>
      <c r="G67" s="175"/>
      <c r="H67" s="176"/>
      <c r="I67" s="177"/>
    </row>
    <row r="68" spans="1:9" ht="36.75" customHeight="1" x14ac:dyDescent="0.6">
      <c r="A68" s="173"/>
      <c r="B68" s="173"/>
      <c r="C68" s="173"/>
      <c r="D68" s="174"/>
      <c r="E68" s="174"/>
      <c r="F68" s="174"/>
      <c r="G68" s="175"/>
      <c r="H68" s="176"/>
      <c r="I68" s="177"/>
    </row>
    <row r="69" spans="1:9" ht="36.75" customHeight="1" x14ac:dyDescent="0.6">
      <c r="A69" s="173"/>
      <c r="B69" s="173"/>
      <c r="C69" s="173"/>
      <c r="D69" s="174"/>
      <c r="E69" s="174"/>
      <c r="F69" s="174"/>
      <c r="G69" s="175"/>
      <c r="H69" s="176"/>
      <c r="I69" s="177"/>
    </row>
    <row r="70" spans="1:9" ht="36.75" customHeight="1" x14ac:dyDescent="0.6">
      <c r="A70" s="173"/>
      <c r="B70" s="173"/>
      <c r="C70" s="173"/>
      <c r="D70" s="174"/>
      <c r="E70" s="174"/>
      <c r="F70" s="174"/>
      <c r="G70" s="175"/>
      <c r="H70" s="176"/>
      <c r="I70" s="177"/>
    </row>
    <row r="71" spans="1:9" ht="36.75" customHeight="1" x14ac:dyDescent="0.6">
      <c r="A71" s="173"/>
      <c r="B71" s="173"/>
      <c r="C71" s="173"/>
      <c r="D71" s="174"/>
      <c r="E71" s="174"/>
      <c r="F71" s="174"/>
      <c r="G71" s="175"/>
      <c r="H71" s="176"/>
      <c r="I71" s="177"/>
    </row>
    <row r="72" spans="1:9" ht="36.75" customHeight="1" x14ac:dyDescent="0.6">
      <c r="A72" s="173"/>
      <c r="B72" s="173"/>
      <c r="C72" s="173"/>
      <c r="D72" s="174"/>
      <c r="E72" s="174"/>
      <c r="F72" s="174"/>
      <c r="G72" s="175"/>
      <c r="H72" s="176"/>
      <c r="I72" s="177"/>
    </row>
    <row r="73" spans="1:9" ht="36.75" customHeight="1" x14ac:dyDescent="0.6">
      <c r="A73" s="173"/>
      <c r="B73" s="173"/>
      <c r="C73" s="173"/>
      <c r="D73" s="174"/>
      <c r="E73" s="174"/>
      <c r="F73" s="174"/>
      <c r="G73" s="175"/>
      <c r="H73" s="176"/>
      <c r="I73" s="177"/>
    </row>
    <row r="74" spans="1:9" ht="36.75" customHeight="1" x14ac:dyDescent="0.6">
      <c r="A74" s="173"/>
      <c r="B74" s="173"/>
      <c r="C74" s="173"/>
      <c r="D74" s="174"/>
      <c r="E74" s="174"/>
      <c r="F74" s="174"/>
      <c r="G74" s="175"/>
      <c r="H74" s="176"/>
      <c r="I74" s="177"/>
    </row>
    <row r="75" spans="1:9" ht="36.75" customHeight="1" x14ac:dyDescent="0.6">
      <c r="A75" s="173"/>
      <c r="B75" s="173"/>
      <c r="C75" s="173"/>
      <c r="D75" s="174"/>
      <c r="E75" s="174"/>
      <c r="F75" s="174"/>
      <c r="G75" s="175"/>
      <c r="H75" s="176"/>
      <c r="I75" s="177"/>
    </row>
    <row r="76" spans="1:9" ht="36.75" customHeight="1" x14ac:dyDescent="0.6">
      <c r="A76" s="173"/>
      <c r="B76" s="173"/>
      <c r="C76" s="173"/>
      <c r="D76" s="174"/>
      <c r="E76" s="174"/>
      <c r="F76" s="174"/>
      <c r="G76" s="175"/>
      <c r="H76" s="176"/>
      <c r="I76" s="177"/>
    </row>
    <row r="77" spans="1:9" ht="36.75" customHeight="1" x14ac:dyDescent="0.6">
      <c r="A77" s="173"/>
      <c r="B77" s="173"/>
      <c r="C77" s="173"/>
      <c r="D77" s="174"/>
      <c r="E77" s="174"/>
      <c r="F77" s="174"/>
      <c r="G77" s="175"/>
      <c r="H77" s="176"/>
      <c r="I77" s="177"/>
    </row>
    <row r="78" spans="1:9" ht="36.75" customHeight="1" x14ac:dyDescent="0.6">
      <c r="A78" s="173"/>
      <c r="B78" s="173"/>
      <c r="C78" s="173"/>
      <c r="D78" s="174"/>
      <c r="E78" s="174"/>
      <c r="F78" s="174"/>
      <c r="G78" s="175"/>
      <c r="H78" s="176"/>
      <c r="I78" s="177"/>
    </row>
    <row r="79" spans="1:9" ht="36.75" customHeight="1" x14ac:dyDescent="0.6">
      <c r="A79" s="173"/>
      <c r="B79" s="173"/>
      <c r="C79" s="173"/>
      <c r="D79" s="174"/>
      <c r="E79" s="174"/>
      <c r="F79" s="174"/>
      <c r="G79" s="175"/>
      <c r="H79" s="176"/>
      <c r="I79" s="177"/>
    </row>
    <row r="80" spans="1:9" ht="36.75" customHeight="1" x14ac:dyDescent="0.6">
      <c r="A80" s="173"/>
      <c r="B80" s="173"/>
      <c r="C80" s="173"/>
      <c r="D80" s="174"/>
      <c r="E80" s="174"/>
      <c r="F80" s="174"/>
      <c r="G80" s="175"/>
      <c r="H80" s="176"/>
      <c r="I80" s="177"/>
    </row>
    <row r="81" spans="1:9" ht="36.75" customHeight="1" x14ac:dyDescent="0.6">
      <c r="A81" s="173"/>
      <c r="B81" s="173"/>
      <c r="C81" s="173"/>
      <c r="D81" s="174"/>
      <c r="E81" s="174"/>
      <c r="F81" s="174"/>
      <c r="G81" s="175"/>
      <c r="H81" s="176"/>
      <c r="I81" s="177"/>
    </row>
    <row r="82" spans="1:9" ht="36.75" customHeight="1" x14ac:dyDescent="0.6">
      <c r="A82" s="173"/>
      <c r="B82" s="173"/>
      <c r="C82" s="173"/>
      <c r="D82" s="174"/>
      <c r="E82" s="174"/>
      <c r="F82" s="174"/>
      <c r="G82" s="175"/>
      <c r="H82" s="176"/>
      <c r="I82" s="177"/>
    </row>
    <row r="83" spans="1:9" ht="36.75" customHeight="1" x14ac:dyDescent="0.6">
      <c r="A83" s="173"/>
      <c r="B83" s="173"/>
      <c r="C83" s="173"/>
      <c r="D83" s="174"/>
      <c r="E83" s="174"/>
      <c r="F83" s="174"/>
      <c r="G83" s="175"/>
      <c r="H83" s="176"/>
      <c r="I83" s="177"/>
    </row>
    <row r="84" spans="1:9" ht="36.75" customHeight="1" x14ac:dyDescent="0.6">
      <c r="A84" s="173"/>
      <c r="B84" s="173"/>
      <c r="C84" s="173"/>
      <c r="D84" s="174"/>
      <c r="E84" s="174"/>
      <c r="F84" s="174"/>
      <c r="G84" s="175"/>
      <c r="H84" s="176"/>
      <c r="I84" s="177"/>
    </row>
    <row r="85" spans="1:9" ht="36.75" customHeight="1" x14ac:dyDescent="0.6">
      <c r="A85" s="173"/>
      <c r="B85" s="173"/>
      <c r="C85" s="173"/>
      <c r="D85" s="174"/>
      <c r="E85" s="174"/>
      <c r="F85" s="174"/>
      <c r="G85" s="175"/>
      <c r="H85" s="176"/>
      <c r="I85" s="177"/>
    </row>
    <row r="86" spans="1:9" ht="36.75" customHeight="1" x14ac:dyDescent="0.6">
      <c r="A86" s="173"/>
      <c r="B86" s="173"/>
      <c r="C86" s="173"/>
      <c r="D86" s="174"/>
      <c r="E86" s="174"/>
      <c r="F86" s="174"/>
      <c r="G86" s="175"/>
      <c r="H86" s="176"/>
      <c r="I86" s="177"/>
    </row>
    <row r="87" spans="1:9" ht="36.75" customHeight="1" x14ac:dyDescent="0.6">
      <c r="A87" s="173"/>
      <c r="B87" s="173"/>
      <c r="C87" s="173"/>
      <c r="D87" s="174"/>
      <c r="E87" s="174"/>
      <c r="F87" s="174"/>
      <c r="G87" s="175"/>
      <c r="H87" s="176"/>
      <c r="I87" s="177"/>
    </row>
    <row r="88" spans="1:9" ht="36.75" customHeight="1" x14ac:dyDescent="0.6">
      <c r="A88" s="173"/>
      <c r="B88" s="173"/>
      <c r="C88" s="173"/>
      <c r="D88" s="174"/>
      <c r="E88" s="174"/>
      <c r="F88" s="174"/>
      <c r="G88" s="175"/>
      <c r="H88" s="176"/>
      <c r="I88" s="177"/>
    </row>
    <row r="89" spans="1:9" ht="36.75" customHeight="1" x14ac:dyDescent="0.6">
      <c r="A89" s="173"/>
      <c r="B89" s="173"/>
      <c r="C89" s="173"/>
      <c r="D89" s="174"/>
      <c r="E89" s="174"/>
      <c r="F89" s="174"/>
      <c r="G89" s="175"/>
      <c r="H89" s="176"/>
      <c r="I89" s="177"/>
    </row>
    <row r="90" spans="1:9" ht="36.75" customHeight="1" x14ac:dyDescent="0.6">
      <c r="A90" s="173"/>
      <c r="B90" s="173"/>
      <c r="C90" s="173"/>
      <c r="D90" s="174"/>
      <c r="E90" s="174"/>
      <c r="F90" s="174"/>
      <c r="G90" s="175"/>
      <c r="H90" s="176"/>
      <c r="I90" s="177"/>
    </row>
    <row r="91" spans="1:9" ht="36.75" customHeight="1" x14ac:dyDescent="0.6">
      <c r="A91" s="173"/>
      <c r="B91" s="173"/>
      <c r="C91" s="173"/>
      <c r="D91" s="174"/>
      <c r="E91" s="174"/>
      <c r="F91" s="174"/>
      <c r="G91" s="175"/>
      <c r="H91" s="176"/>
      <c r="I91" s="177"/>
    </row>
    <row r="92" spans="1:9" ht="36.75" customHeight="1" x14ac:dyDescent="0.6">
      <c r="A92" s="173"/>
      <c r="B92" s="173"/>
      <c r="C92" s="173"/>
      <c r="D92" s="174"/>
      <c r="E92" s="174"/>
      <c r="F92" s="174"/>
      <c r="G92" s="175"/>
      <c r="H92" s="176"/>
      <c r="I92" s="177"/>
    </row>
    <row r="93" spans="1:9" ht="36.75" customHeight="1" x14ac:dyDescent="0.6">
      <c r="A93" s="173"/>
      <c r="B93" s="173"/>
      <c r="C93" s="173"/>
      <c r="D93" s="174"/>
      <c r="E93" s="174"/>
      <c r="F93" s="174"/>
      <c r="G93" s="175"/>
      <c r="H93" s="176"/>
      <c r="I93" s="177"/>
    </row>
    <row r="94" spans="1:9" ht="36.75" customHeight="1" x14ac:dyDescent="0.6">
      <c r="A94" s="173"/>
      <c r="B94" s="173"/>
      <c r="C94" s="173"/>
      <c r="D94" s="174"/>
      <c r="E94" s="174"/>
      <c r="F94" s="174"/>
      <c r="G94" s="175"/>
      <c r="H94" s="176"/>
      <c r="I94" s="177"/>
    </row>
    <row r="95" spans="1:9" ht="36.75" customHeight="1" x14ac:dyDescent="0.6">
      <c r="A95" s="173"/>
      <c r="B95" s="173"/>
      <c r="C95" s="173"/>
      <c r="D95" s="174"/>
      <c r="E95" s="174"/>
      <c r="F95" s="174"/>
      <c r="G95" s="175"/>
      <c r="H95" s="176"/>
      <c r="I95" s="177"/>
    </row>
    <row r="96" spans="1:9" ht="36.75" customHeight="1" x14ac:dyDescent="0.6">
      <c r="A96" s="173"/>
      <c r="B96" s="173"/>
      <c r="C96" s="173"/>
      <c r="D96" s="174"/>
      <c r="E96" s="174"/>
      <c r="F96" s="174"/>
      <c r="G96" s="175"/>
      <c r="H96" s="176"/>
      <c r="I96" s="177"/>
    </row>
    <row r="97" spans="1:9" ht="36.75" customHeight="1" x14ac:dyDescent="0.6">
      <c r="A97" s="173"/>
      <c r="B97" s="173"/>
      <c r="C97" s="173"/>
      <c r="D97" s="174"/>
      <c r="E97" s="174"/>
      <c r="F97" s="174"/>
      <c r="G97" s="175"/>
      <c r="H97" s="176"/>
      <c r="I97" s="177"/>
    </row>
    <row r="98" spans="1:9" ht="36.75" customHeight="1" x14ac:dyDescent="0.6">
      <c r="A98" s="173"/>
      <c r="B98" s="173"/>
      <c r="C98" s="173"/>
      <c r="D98" s="174"/>
      <c r="E98" s="174"/>
      <c r="F98" s="174"/>
      <c r="G98" s="175"/>
      <c r="H98" s="176"/>
      <c r="I98" s="177"/>
    </row>
    <row r="99" spans="1:9" ht="36.75" customHeight="1" x14ac:dyDescent="0.6">
      <c r="A99" s="173"/>
      <c r="B99" s="173"/>
      <c r="C99" s="173"/>
      <c r="D99" s="174"/>
      <c r="E99" s="174"/>
      <c r="F99" s="174"/>
      <c r="G99" s="175"/>
      <c r="H99" s="176"/>
      <c r="I99" s="177"/>
    </row>
    <row r="100" spans="1:9" ht="36.75" customHeight="1" x14ac:dyDescent="0.6">
      <c r="A100" s="173"/>
      <c r="B100" s="173"/>
      <c r="C100" s="173"/>
      <c r="D100" s="174"/>
      <c r="E100" s="174"/>
      <c r="F100" s="174"/>
      <c r="G100" s="175"/>
      <c r="H100" s="176"/>
      <c r="I100" s="177"/>
    </row>
    <row r="101" spans="1:9" ht="36.75" customHeight="1" thickBot="1" x14ac:dyDescent="0.65">
      <c r="A101" s="173"/>
      <c r="B101" s="173"/>
      <c r="C101" s="173"/>
      <c r="D101" s="174"/>
      <c r="E101" s="174"/>
      <c r="F101" s="174"/>
      <c r="G101" s="175"/>
      <c r="H101" s="178"/>
      <c r="I101" s="179"/>
    </row>
  </sheetData>
  <mergeCells count="2">
    <mergeCell ref="D2:I2"/>
    <mergeCell ref="H5:I5"/>
  </mergeCells>
  <dataValidations count="1">
    <dataValidation type="list" allowBlank="1" showInputMessage="1" showErrorMessage="1" sqref="D4" xr:uid="{00000000-0002-0000-0100-000000000000}"/>
  </dataValidations>
  <pageMargins left="0.25" right="0.25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L460"/>
  <sheetViews>
    <sheetView showGridLines="0" tabSelected="1" topLeftCell="G1" zoomScale="110" zoomScaleNormal="110" zoomScaleSheetLayoutView="100" workbookViewId="0">
      <selection activeCell="L4" sqref="L4"/>
    </sheetView>
  </sheetViews>
  <sheetFormatPr defaultColWidth="4.3984375" defaultRowHeight="10.199999999999999" x14ac:dyDescent="0.2"/>
  <cols>
    <col min="1" max="1" width="2.59765625" style="202" customWidth="1"/>
    <col min="2" max="2" width="6.19921875" style="203" customWidth="1"/>
    <col min="3" max="3" width="10" style="200" customWidth="1"/>
    <col min="4" max="4" width="8.19921875" style="200" customWidth="1"/>
    <col min="5" max="5" width="16" style="204" customWidth="1"/>
    <col min="6" max="6" width="3.69921875" style="201" customWidth="1"/>
    <col min="7" max="7" width="16" style="201" bestFit="1" customWidth="1"/>
    <col min="8" max="10" width="17.69921875" style="200" customWidth="1"/>
    <col min="11" max="11" width="15.19921875" style="200" bestFit="1" customWidth="1"/>
    <col min="12" max="12" width="13.3984375" style="200" customWidth="1"/>
    <col min="13" max="13" width="42.19921875" style="200" customWidth="1"/>
    <col min="14" max="20" width="4.59765625" style="200" customWidth="1"/>
    <col min="21" max="30" width="10" style="200" customWidth="1"/>
    <col min="31" max="31" width="15.3984375" style="200" bestFit="1" customWidth="1"/>
    <col min="32" max="32" width="16.19921875" style="205" bestFit="1" customWidth="1"/>
    <col min="33" max="33" width="7.19921875" style="205" customWidth="1"/>
    <col min="34" max="36" width="8.3984375" style="206" bestFit="1" customWidth="1"/>
    <col min="37" max="37" width="9.3984375" style="206" bestFit="1" customWidth="1"/>
    <col min="38" max="16384" width="4.3984375" style="200"/>
  </cols>
  <sheetData>
    <row r="1" spans="1:38" ht="16.5" customHeight="1" x14ac:dyDescent="0.3">
      <c r="K1" s="266" t="s">
        <v>34</v>
      </c>
      <c r="L1" s="266"/>
      <c r="M1" s="266"/>
    </row>
    <row r="2" spans="1:38" s="199" customFormat="1" ht="16.5" customHeight="1" thickBot="1" x14ac:dyDescent="0.25">
      <c r="A2" s="207"/>
      <c r="B2" s="208"/>
      <c r="E2" s="209" t="s">
        <v>35</v>
      </c>
      <c r="H2" s="209" t="s">
        <v>35</v>
      </c>
      <c r="I2" s="209" t="s">
        <v>35</v>
      </c>
      <c r="J2" s="209" t="s">
        <v>35</v>
      </c>
      <c r="K2" s="238" t="s">
        <v>35</v>
      </c>
      <c r="L2" s="238" t="s">
        <v>35</v>
      </c>
      <c r="M2" s="238" t="s">
        <v>35</v>
      </c>
      <c r="U2" s="210" t="s">
        <v>35</v>
      </c>
      <c r="V2" s="210" t="s">
        <v>35</v>
      </c>
      <c r="W2" s="210" t="s">
        <v>35</v>
      </c>
      <c r="X2" s="210" t="s">
        <v>35</v>
      </c>
      <c r="Y2" s="265" t="s">
        <v>36</v>
      </c>
      <c r="Z2" s="265"/>
      <c r="AF2" s="237" t="s">
        <v>37</v>
      </c>
      <c r="AG2" s="237"/>
      <c r="AH2" s="237"/>
      <c r="AI2" s="237"/>
      <c r="AJ2" s="237"/>
      <c r="AK2" s="237"/>
    </row>
    <row r="3" spans="1:38" s="233" customFormat="1" ht="39" customHeight="1" x14ac:dyDescent="0.25">
      <c r="A3" s="211" t="s">
        <v>38</v>
      </c>
      <c r="B3" s="212" t="s">
        <v>26</v>
      </c>
      <c r="C3" s="213" t="s">
        <v>39</v>
      </c>
      <c r="D3" s="213" t="s">
        <v>40</v>
      </c>
      <c r="E3" s="213" t="s">
        <v>41</v>
      </c>
      <c r="F3" s="213" t="s">
        <v>42</v>
      </c>
      <c r="G3" s="214" t="s">
        <v>43</v>
      </c>
      <c r="H3" s="213" t="s">
        <v>44</v>
      </c>
      <c r="I3" s="213" t="s">
        <v>29</v>
      </c>
      <c r="J3" s="214" t="s">
        <v>45</v>
      </c>
      <c r="K3" s="213" t="s">
        <v>46</v>
      </c>
      <c r="L3" s="213" t="s">
        <v>47</v>
      </c>
      <c r="M3" s="213" t="s">
        <v>48</v>
      </c>
      <c r="N3" s="213" t="s">
        <v>49</v>
      </c>
      <c r="O3" s="215" t="s">
        <v>50</v>
      </c>
      <c r="P3" s="213" t="s">
        <v>51</v>
      </c>
      <c r="Q3" s="213" t="s">
        <v>52</v>
      </c>
      <c r="R3" s="213" t="s">
        <v>53</v>
      </c>
      <c r="S3" s="213" t="s">
        <v>54</v>
      </c>
      <c r="T3" s="213" t="s">
        <v>55</v>
      </c>
      <c r="U3" s="213" t="s">
        <v>56</v>
      </c>
      <c r="V3" s="213" t="s">
        <v>57</v>
      </c>
      <c r="W3" s="213" t="s">
        <v>58</v>
      </c>
      <c r="X3" s="213" t="s">
        <v>59</v>
      </c>
      <c r="Y3" s="213" t="s">
        <v>60</v>
      </c>
      <c r="Z3" s="213" t="s">
        <v>61</v>
      </c>
      <c r="AA3" s="213" t="s">
        <v>62</v>
      </c>
      <c r="AB3" s="213" t="s">
        <v>63</v>
      </c>
      <c r="AC3" s="216" t="s">
        <v>64</v>
      </c>
      <c r="AD3" s="217" t="s">
        <v>65</v>
      </c>
      <c r="AE3" s="218" t="s">
        <v>20</v>
      </c>
      <c r="AF3" s="232" t="s">
        <v>27</v>
      </c>
      <c r="AG3" s="232" t="s">
        <v>66</v>
      </c>
      <c r="AH3" s="232" t="s">
        <v>67</v>
      </c>
      <c r="AI3" s="232" t="s">
        <v>68</v>
      </c>
      <c r="AJ3" s="232" t="s">
        <v>69</v>
      </c>
      <c r="AK3" s="232" t="s">
        <v>70</v>
      </c>
    </row>
    <row r="4" spans="1:38" s="230" customFormat="1" x14ac:dyDescent="0.25">
      <c r="A4" s="219">
        <v>1</v>
      </c>
      <c r="B4" s="220">
        <v>243888</v>
      </c>
      <c r="C4" s="221" t="s">
        <v>71</v>
      </c>
      <c r="D4" s="224" t="s">
        <v>72</v>
      </c>
      <c r="E4" s="222" t="s">
        <v>73</v>
      </c>
      <c r="F4" s="223">
        <f t="shared" ref="F4:F67" si="0">LEN(E4)</f>
        <v>16</v>
      </c>
      <c r="G4" s="223" t="s">
        <v>74</v>
      </c>
      <c r="H4" s="224" t="s">
        <v>75</v>
      </c>
      <c r="I4" s="224" t="s">
        <v>76</v>
      </c>
      <c r="J4" s="224" t="s">
        <v>77</v>
      </c>
      <c r="K4" s="225" t="s">
        <v>78</v>
      </c>
      <c r="L4" s="225" t="s">
        <v>79</v>
      </c>
      <c r="M4" s="226" t="s">
        <v>80</v>
      </c>
      <c r="N4" s="224" t="s">
        <v>81</v>
      </c>
      <c r="O4" s="227">
        <v>5000</v>
      </c>
      <c r="P4" s="224" t="s">
        <v>82</v>
      </c>
      <c r="Q4" s="224" t="s">
        <v>83</v>
      </c>
      <c r="R4" s="224" t="s">
        <v>84</v>
      </c>
      <c r="S4" s="224" t="s">
        <v>85</v>
      </c>
      <c r="T4" s="224" t="s">
        <v>86</v>
      </c>
      <c r="U4" s="224" t="s">
        <v>87</v>
      </c>
      <c r="V4" s="224" t="s">
        <v>88</v>
      </c>
      <c r="W4" s="224" t="s">
        <v>89</v>
      </c>
      <c r="X4" s="224" t="s">
        <v>90</v>
      </c>
      <c r="Y4" s="224" t="s">
        <v>91</v>
      </c>
      <c r="Z4" s="224" t="s">
        <v>92</v>
      </c>
      <c r="AA4" s="224" t="s">
        <v>93</v>
      </c>
      <c r="AB4" s="224" t="s">
        <v>94</v>
      </c>
      <c r="AC4" s="224" t="s">
        <v>95</v>
      </c>
      <c r="AD4" s="224" t="s">
        <v>96</v>
      </c>
      <c r="AE4" s="234"/>
      <c r="AF4" s="228" t="str">
        <f t="shared" ref="AF4:AF66" si="1">E4</f>
        <v>1115111111111111</v>
      </c>
      <c r="AG4" s="228" t="s">
        <v>66</v>
      </c>
      <c r="AH4" s="229" t="str">
        <f t="shared" ref="AH4:AH66" si="2">LEFT(K4,1)</f>
        <v>8</v>
      </c>
      <c r="AI4" s="229" t="str">
        <f t="shared" ref="AI4:AI66" si="3">LEFT(L4,2)</f>
        <v>82</v>
      </c>
      <c r="AJ4" s="229" t="str">
        <f t="shared" ref="AJ4:AJ66" si="4">LEFT(M4,4)</f>
        <v>8212</v>
      </c>
      <c r="AK4" s="229" t="str">
        <f>IF(VLOOKUP($AI:$AI,'Customer Structure'!$G:$I,3,0)="Food Service","F","H")</f>
        <v>F</v>
      </c>
      <c r="AL4" s="229"/>
    </row>
    <row r="5" spans="1:38" s="230" customFormat="1" x14ac:dyDescent="0.25">
      <c r="A5" s="219"/>
      <c r="B5" s="220"/>
      <c r="C5" s="231"/>
      <c r="D5" s="224"/>
      <c r="E5" s="222"/>
      <c r="F5" s="223"/>
      <c r="G5" s="223"/>
      <c r="H5" s="224"/>
      <c r="I5" s="224"/>
      <c r="J5" s="224"/>
      <c r="K5" s="225"/>
      <c r="L5" s="225"/>
      <c r="M5" s="226"/>
      <c r="N5" s="224"/>
      <c r="O5" s="227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34"/>
      <c r="AF5" s="228"/>
      <c r="AG5" s="228"/>
      <c r="AH5" s="229"/>
      <c r="AI5" s="229"/>
      <c r="AJ5" s="229"/>
      <c r="AK5" s="229"/>
    </row>
    <row r="6" spans="1:38" s="230" customFormat="1" ht="11.25" customHeight="1" x14ac:dyDescent="0.25">
      <c r="A6" s="219">
        <v>3</v>
      </c>
      <c r="B6" s="220"/>
      <c r="C6" s="231"/>
      <c r="D6" s="231"/>
      <c r="E6" s="222"/>
      <c r="F6" s="223">
        <f t="shared" si="0"/>
        <v>0</v>
      </c>
      <c r="G6" s="223"/>
      <c r="H6" s="224"/>
      <c r="I6" s="224"/>
      <c r="J6" s="224"/>
      <c r="K6" s="225"/>
      <c r="L6" s="225"/>
      <c r="M6" s="226"/>
      <c r="N6" s="224"/>
      <c r="O6" s="227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34"/>
      <c r="AF6" s="228">
        <f t="shared" si="1"/>
        <v>0</v>
      </c>
      <c r="AG6" s="228" t="s">
        <v>66</v>
      </c>
      <c r="AH6" s="229" t="str">
        <f t="shared" si="2"/>
        <v/>
      </c>
      <c r="AI6" s="229" t="str">
        <f t="shared" si="3"/>
        <v/>
      </c>
      <c r="AJ6" s="229" t="str">
        <f t="shared" si="4"/>
        <v/>
      </c>
      <c r="AK6" s="229" t="e">
        <f>IF(VLOOKUP($AI:$AI,'Customer Structure'!$G:$I,3,0)="Food Service","F","H")</f>
        <v>#N/A</v>
      </c>
    </row>
    <row r="7" spans="1:38" s="230" customFormat="1" ht="11.25" customHeight="1" x14ac:dyDescent="0.25">
      <c r="A7" s="219">
        <v>4</v>
      </c>
      <c r="B7" s="220"/>
      <c r="C7" s="231"/>
      <c r="D7" s="231"/>
      <c r="E7" s="222"/>
      <c r="F7" s="223">
        <f t="shared" si="0"/>
        <v>0</v>
      </c>
      <c r="G7" s="223"/>
      <c r="H7" s="224"/>
      <c r="I7" s="224"/>
      <c r="J7" s="224"/>
      <c r="K7" s="225"/>
      <c r="L7" s="225"/>
      <c r="M7" s="226"/>
      <c r="N7" s="224"/>
      <c r="O7" s="227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  <c r="AE7" s="234"/>
      <c r="AF7" s="228">
        <f t="shared" si="1"/>
        <v>0</v>
      </c>
      <c r="AG7" s="228" t="s">
        <v>66</v>
      </c>
      <c r="AH7" s="229" t="str">
        <f t="shared" si="2"/>
        <v/>
      </c>
      <c r="AI7" s="229" t="str">
        <f t="shared" si="3"/>
        <v/>
      </c>
      <c r="AJ7" s="229" t="str">
        <f t="shared" si="4"/>
        <v/>
      </c>
      <c r="AK7" s="229" t="e">
        <f>IF(VLOOKUP($AI:$AI,'Customer Structure'!$G:$I,3,0)="Food Service","F","H")</f>
        <v>#N/A</v>
      </c>
    </row>
    <row r="8" spans="1:38" s="230" customFormat="1" ht="11.25" customHeight="1" x14ac:dyDescent="0.25">
      <c r="A8" s="219">
        <v>5</v>
      </c>
      <c r="B8" s="220"/>
      <c r="C8" s="231"/>
      <c r="D8" s="231"/>
      <c r="E8" s="222"/>
      <c r="F8" s="223">
        <f t="shared" si="0"/>
        <v>0</v>
      </c>
      <c r="G8" s="223"/>
      <c r="H8" s="224"/>
      <c r="I8" s="224"/>
      <c r="J8" s="224"/>
      <c r="K8" s="225"/>
      <c r="L8" s="225"/>
      <c r="M8" s="226"/>
      <c r="N8" s="224"/>
      <c r="O8" s="227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34"/>
      <c r="AF8" s="228">
        <f t="shared" si="1"/>
        <v>0</v>
      </c>
      <c r="AG8" s="228" t="s">
        <v>66</v>
      </c>
      <c r="AH8" s="229" t="str">
        <f t="shared" si="2"/>
        <v/>
      </c>
      <c r="AI8" s="229" t="str">
        <f t="shared" si="3"/>
        <v/>
      </c>
      <c r="AJ8" s="229" t="str">
        <f t="shared" si="4"/>
        <v/>
      </c>
      <c r="AK8" s="229" t="e">
        <f>IF(VLOOKUP($AI:$AI,'Customer Structure'!$G:$I,3,0)="Food Service","F","H")</f>
        <v>#N/A</v>
      </c>
    </row>
    <row r="9" spans="1:38" s="230" customFormat="1" ht="11.25" customHeight="1" x14ac:dyDescent="0.25">
      <c r="A9" s="219">
        <v>6</v>
      </c>
      <c r="B9" s="220"/>
      <c r="C9" s="231"/>
      <c r="D9" s="231"/>
      <c r="E9" s="222"/>
      <c r="F9" s="223">
        <f t="shared" si="0"/>
        <v>0</v>
      </c>
      <c r="G9" s="223"/>
      <c r="H9" s="224"/>
      <c r="I9" s="224"/>
      <c r="J9" s="224"/>
      <c r="K9" s="225"/>
      <c r="L9" s="225"/>
      <c r="M9" s="226"/>
      <c r="N9" s="224"/>
      <c r="O9" s="227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34"/>
      <c r="AF9" s="228">
        <f t="shared" si="1"/>
        <v>0</v>
      </c>
      <c r="AG9" s="228" t="s">
        <v>66</v>
      </c>
      <c r="AH9" s="229" t="str">
        <f t="shared" si="2"/>
        <v/>
      </c>
      <c r="AI9" s="229" t="str">
        <f t="shared" si="3"/>
        <v/>
      </c>
      <c r="AJ9" s="229" t="str">
        <f t="shared" si="4"/>
        <v/>
      </c>
      <c r="AK9" s="229" t="e">
        <f>IF(VLOOKUP($AI:$AI,'Customer Structure'!$G:$I,3,0)="Food Service","F","H")</f>
        <v>#N/A</v>
      </c>
    </row>
    <row r="10" spans="1:38" s="230" customFormat="1" ht="11.25" customHeight="1" x14ac:dyDescent="0.25">
      <c r="A10" s="219">
        <v>7</v>
      </c>
      <c r="B10" s="220"/>
      <c r="C10" s="231"/>
      <c r="D10" s="231"/>
      <c r="E10" s="222"/>
      <c r="F10" s="223">
        <f t="shared" si="0"/>
        <v>0</v>
      </c>
      <c r="G10" s="223"/>
      <c r="H10" s="224"/>
      <c r="I10" s="224"/>
      <c r="J10" s="224"/>
      <c r="K10" s="225"/>
      <c r="L10" s="225"/>
      <c r="M10" s="226"/>
      <c r="N10" s="224"/>
      <c r="O10" s="227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34"/>
      <c r="AF10" s="228">
        <f t="shared" si="1"/>
        <v>0</v>
      </c>
      <c r="AG10" s="228" t="s">
        <v>66</v>
      </c>
      <c r="AH10" s="229" t="str">
        <f t="shared" si="2"/>
        <v/>
      </c>
      <c r="AI10" s="229" t="str">
        <f t="shared" si="3"/>
        <v/>
      </c>
      <c r="AJ10" s="229" t="str">
        <f t="shared" si="4"/>
        <v/>
      </c>
      <c r="AK10" s="229" t="e">
        <f>IF(VLOOKUP($AI:$AI,'Customer Structure'!$G:$I,3,0)="Food Service","F","H")</f>
        <v>#N/A</v>
      </c>
    </row>
    <row r="11" spans="1:38" s="230" customFormat="1" ht="11.25" customHeight="1" x14ac:dyDescent="0.25">
      <c r="A11" s="219">
        <v>8</v>
      </c>
      <c r="B11" s="220"/>
      <c r="C11" s="231"/>
      <c r="D11" s="231"/>
      <c r="E11" s="222"/>
      <c r="F11" s="223">
        <f t="shared" si="0"/>
        <v>0</v>
      </c>
      <c r="G11" s="223"/>
      <c r="H11" s="224"/>
      <c r="I11" s="224"/>
      <c r="J11" s="224"/>
      <c r="K11" s="225"/>
      <c r="L11" s="225"/>
      <c r="M11" s="226"/>
      <c r="N11" s="224"/>
      <c r="O11" s="227"/>
      <c r="P11" s="224"/>
      <c r="Q11" s="22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  <c r="AD11" s="224"/>
      <c r="AE11" s="234"/>
      <c r="AF11" s="228">
        <f t="shared" si="1"/>
        <v>0</v>
      </c>
      <c r="AG11" s="228" t="s">
        <v>66</v>
      </c>
      <c r="AH11" s="229" t="str">
        <f t="shared" si="2"/>
        <v/>
      </c>
      <c r="AI11" s="229" t="str">
        <f t="shared" si="3"/>
        <v/>
      </c>
      <c r="AJ11" s="229" t="str">
        <f t="shared" si="4"/>
        <v/>
      </c>
      <c r="AK11" s="229" t="e">
        <f>IF(VLOOKUP($AI:$AI,'Customer Structure'!$G:$I,3,0)="Food Service","F","H")</f>
        <v>#N/A</v>
      </c>
    </row>
    <row r="12" spans="1:38" s="230" customFormat="1" ht="11.25" customHeight="1" x14ac:dyDescent="0.25">
      <c r="A12" s="219">
        <v>9</v>
      </c>
      <c r="B12" s="220"/>
      <c r="C12" s="231"/>
      <c r="D12" s="231"/>
      <c r="E12" s="222"/>
      <c r="F12" s="223">
        <f t="shared" si="0"/>
        <v>0</v>
      </c>
      <c r="G12" s="223"/>
      <c r="H12" s="224"/>
      <c r="I12" s="224"/>
      <c r="J12" s="224"/>
      <c r="K12" s="225"/>
      <c r="L12" s="225"/>
      <c r="M12" s="226"/>
      <c r="N12" s="224"/>
      <c r="O12" s="227"/>
      <c r="P12" s="224"/>
      <c r="Q12" s="22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  <c r="AD12" s="224"/>
      <c r="AE12" s="234"/>
      <c r="AF12" s="228">
        <f t="shared" si="1"/>
        <v>0</v>
      </c>
      <c r="AG12" s="228" t="s">
        <v>66</v>
      </c>
      <c r="AH12" s="229" t="str">
        <f t="shared" si="2"/>
        <v/>
      </c>
      <c r="AI12" s="229" t="str">
        <f t="shared" si="3"/>
        <v/>
      </c>
      <c r="AJ12" s="229" t="str">
        <f t="shared" si="4"/>
        <v/>
      </c>
      <c r="AK12" s="229" t="e">
        <f>IF(VLOOKUP($AI:$AI,'Customer Structure'!$G:$I,3,0)="Food Service","F","H")</f>
        <v>#N/A</v>
      </c>
    </row>
    <row r="13" spans="1:38" s="230" customFormat="1" ht="11.25" customHeight="1" x14ac:dyDescent="0.25">
      <c r="A13" s="219">
        <v>10</v>
      </c>
      <c r="B13" s="220"/>
      <c r="C13" s="231"/>
      <c r="D13" s="231"/>
      <c r="E13" s="222"/>
      <c r="F13" s="223">
        <f t="shared" si="0"/>
        <v>0</v>
      </c>
      <c r="G13" s="223"/>
      <c r="H13" s="224"/>
      <c r="I13" s="224"/>
      <c r="J13" s="224"/>
      <c r="K13" s="225"/>
      <c r="L13" s="225"/>
      <c r="M13" s="226"/>
      <c r="N13" s="224"/>
      <c r="O13" s="227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34"/>
      <c r="AF13" s="228">
        <f t="shared" si="1"/>
        <v>0</v>
      </c>
      <c r="AG13" s="228" t="s">
        <v>66</v>
      </c>
      <c r="AH13" s="229" t="str">
        <f t="shared" si="2"/>
        <v/>
      </c>
      <c r="AI13" s="229" t="str">
        <f t="shared" si="3"/>
        <v/>
      </c>
      <c r="AJ13" s="229" t="str">
        <f t="shared" si="4"/>
        <v/>
      </c>
      <c r="AK13" s="229" t="e">
        <f>IF(VLOOKUP($AI:$AI,'Customer Structure'!$G:$I,3,0)="Food Service","F","H")</f>
        <v>#N/A</v>
      </c>
    </row>
    <row r="14" spans="1:38" s="230" customFormat="1" ht="11.25" customHeight="1" x14ac:dyDescent="0.25">
      <c r="A14" s="219">
        <v>11</v>
      </c>
      <c r="B14" s="220"/>
      <c r="C14" s="231"/>
      <c r="D14" s="231"/>
      <c r="E14" s="222"/>
      <c r="F14" s="223">
        <f t="shared" si="0"/>
        <v>0</v>
      </c>
      <c r="G14" s="223"/>
      <c r="H14" s="224"/>
      <c r="I14" s="224"/>
      <c r="J14" s="224"/>
      <c r="K14" s="225"/>
      <c r="L14" s="225"/>
      <c r="M14" s="226"/>
      <c r="N14" s="224"/>
      <c r="O14" s="227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34"/>
      <c r="AF14" s="228">
        <f t="shared" si="1"/>
        <v>0</v>
      </c>
      <c r="AG14" s="228" t="s">
        <v>66</v>
      </c>
      <c r="AH14" s="229" t="str">
        <f t="shared" si="2"/>
        <v/>
      </c>
      <c r="AI14" s="229" t="str">
        <f t="shared" si="3"/>
        <v/>
      </c>
      <c r="AJ14" s="229" t="str">
        <f t="shared" si="4"/>
        <v/>
      </c>
      <c r="AK14" s="229" t="e">
        <f>IF(VLOOKUP($AI:$AI,'Customer Structure'!$G:$I,3,0)="Food Service","F","H")</f>
        <v>#N/A</v>
      </c>
    </row>
    <row r="15" spans="1:38" s="230" customFormat="1" ht="11.25" customHeight="1" x14ac:dyDescent="0.25">
      <c r="A15" s="219">
        <v>12</v>
      </c>
      <c r="B15" s="220"/>
      <c r="C15" s="231"/>
      <c r="D15" s="231"/>
      <c r="E15" s="222"/>
      <c r="F15" s="223">
        <f t="shared" si="0"/>
        <v>0</v>
      </c>
      <c r="G15" s="223"/>
      <c r="H15" s="224"/>
      <c r="I15" s="224"/>
      <c r="J15" s="224"/>
      <c r="K15" s="225"/>
      <c r="L15" s="225"/>
      <c r="M15" s="226"/>
      <c r="N15" s="224"/>
      <c r="O15" s="227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34"/>
      <c r="AF15" s="228">
        <f t="shared" si="1"/>
        <v>0</v>
      </c>
      <c r="AG15" s="228" t="s">
        <v>66</v>
      </c>
      <c r="AH15" s="229" t="str">
        <f t="shared" si="2"/>
        <v/>
      </c>
      <c r="AI15" s="229" t="str">
        <f t="shared" si="3"/>
        <v/>
      </c>
      <c r="AJ15" s="229" t="str">
        <f t="shared" si="4"/>
        <v/>
      </c>
      <c r="AK15" s="229" t="e">
        <f>IF(VLOOKUP($AI:$AI,'Customer Structure'!$G:$I,3,0)="Food Service","F","H")</f>
        <v>#N/A</v>
      </c>
    </row>
    <row r="16" spans="1:38" s="230" customFormat="1" ht="11.25" customHeight="1" x14ac:dyDescent="0.25">
      <c r="A16" s="219">
        <v>13</v>
      </c>
      <c r="B16" s="220"/>
      <c r="C16" s="231"/>
      <c r="D16" s="231"/>
      <c r="E16" s="222"/>
      <c r="F16" s="223">
        <f t="shared" si="0"/>
        <v>0</v>
      </c>
      <c r="G16" s="223"/>
      <c r="H16" s="224"/>
      <c r="I16" s="224"/>
      <c r="J16" s="224"/>
      <c r="K16" s="225"/>
      <c r="L16" s="225"/>
      <c r="M16" s="226"/>
      <c r="N16" s="224"/>
      <c r="O16" s="227"/>
      <c r="P16" s="22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34"/>
      <c r="AF16" s="228">
        <f t="shared" si="1"/>
        <v>0</v>
      </c>
      <c r="AG16" s="228" t="s">
        <v>66</v>
      </c>
      <c r="AH16" s="229" t="str">
        <f t="shared" si="2"/>
        <v/>
      </c>
      <c r="AI16" s="229" t="str">
        <f t="shared" si="3"/>
        <v/>
      </c>
      <c r="AJ16" s="229" t="str">
        <f t="shared" si="4"/>
        <v/>
      </c>
      <c r="AK16" s="229" t="e">
        <f>IF(VLOOKUP($AI:$AI,'Customer Structure'!$G:$I,3,0)="Food Service","F","H")</f>
        <v>#N/A</v>
      </c>
    </row>
    <row r="17" spans="1:37" s="230" customFormat="1" ht="11.25" customHeight="1" x14ac:dyDescent="0.25">
      <c r="A17" s="219">
        <v>14</v>
      </c>
      <c r="B17" s="220"/>
      <c r="C17" s="231"/>
      <c r="D17" s="231"/>
      <c r="E17" s="222"/>
      <c r="F17" s="223">
        <f t="shared" si="0"/>
        <v>0</v>
      </c>
      <c r="G17" s="223"/>
      <c r="H17" s="224"/>
      <c r="I17" s="224"/>
      <c r="J17" s="224"/>
      <c r="K17" s="225"/>
      <c r="L17" s="225"/>
      <c r="M17" s="226"/>
      <c r="N17" s="224"/>
      <c r="O17" s="227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34"/>
      <c r="AF17" s="228">
        <f t="shared" si="1"/>
        <v>0</v>
      </c>
      <c r="AG17" s="228" t="s">
        <v>66</v>
      </c>
      <c r="AH17" s="229" t="str">
        <f t="shared" si="2"/>
        <v/>
      </c>
      <c r="AI17" s="229" t="str">
        <f t="shared" si="3"/>
        <v/>
      </c>
      <c r="AJ17" s="229" t="str">
        <f t="shared" si="4"/>
        <v/>
      </c>
      <c r="AK17" s="229" t="e">
        <f>IF(VLOOKUP($AI:$AI,'Customer Structure'!$G:$I,3,0)="Food Service","F","H")</f>
        <v>#N/A</v>
      </c>
    </row>
    <row r="18" spans="1:37" s="230" customFormat="1" ht="11.25" customHeight="1" x14ac:dyDescent="0.25">
      <c r="A18" s="219">
        <v>15</v>
      </c>
      <c r="B18" s="220"/>
      <c r="C18" s="231"/>
      <c r="D18" s="231"/>
      <c r="E18" s="222"/>
      <c r="F18" s="223">
        <f t="shared" si="0"/>
        <v>0</v>
      </c>
      <c r="G18" s="223"/>
      <c r="H18" s="224"/>
      <c r="I18" s="224"/>
      <c r="J18" s="224"/>
      <c r="K18" s="225"/>
      <c r="L18" s="225"/>
      <c r="M18" s="226"/>
      <c r="N18" s="224"/>
      <c r="O18" s="227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34"/>
      <c r="AF18" s="228">
        <f t="shared" si="1"/>
        <v>0</v>
      </c>
      <c r="AG18" s="228" t="s">
        <v>66</v>
      </c>
      <c r="AH18" s="229" t="str">
        <f t="shared" si="2"/>
        <v/>
      </c>
      <c r="AI18" s="229" t="str">
        <f t="shared" si="3"/>
        <v/>
      </c>
      <c r="AJ18" s="229" t="str">
        <f t="shared" si="4"/>
        <v/>
      </c>
      <c r="AK18" s="229" t="e">
        <f>IF(VLOOKUP($AI:$AI,'Customer Structure'!$G:$I,3,0)="Food Service","F","H")</f>
        <v>#N/A</v>
      </c>
    </row>
    <row r="19" spans="1:37" s="230" customFormat="1" ht="11.25" customHeight="1" x14ac:dyDescent="0.25">
      <c r="A19" s="219">
        <v>16</v>
      </c>
      <c r="B19" s="220"/>
      <c r="C19" s="231"/>
      <c r="D19" s="231"/>
      <c r="E19" s="222"/>
      <c r="F19" s="223">
        <f t="shared" si="0"/>
        <v>0</v>
      </c>
      <c r="G19" s="223"/>
      <c r="H19" s="224"/>
      <c r="I19" s="224"/>
      <c r="J19" s="224"/>
      <c r="K19" s="225"/>
      <c r="L19" s="225"/>
      <c r="M19" s="226"/>
      <c r="N19" s="224"/>
      <c r="O19" s="227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34"/>
      <c r="AF19" s="228">
        <f t="shared" si="1"/>
        <v>0</v>
      </c>
      <c r="AG19" s="228" t="s">
        <v>66</v>
      </c>
      <c r="AH19" s="229" t="str">
        <f t="shared" si="2"/>
        <v/>
      </c>
      <c r="AI19" s="229" t="str">
        <f t="shared" si="3"/>
        <v/>
      </c>
      <c r="AJ19" s="229" t="str">
        <f t="shared" si="4"/>
        <v/>
      </c>
      <c r="AK19" s="229" t="e">
        <f>IF(VLOOKUP($AI:$AI,'Customer Structure'!$G:$I,3,0)="Food Service","F","H")</f>
        <v>#N/A</v>
      </c>
    </row>
    <row r="20" spans="1:37" s="230" customFormat="1" ht="11.25" customHeight="1" x14ac:dyDescent="0.25">
      <c r="A20" s="219">
        <v>17</v>
      </c>
      <c r="B20" s="220"/>
      <c r="C20" s="231"/>
      <c r="D20" s="231"/>
      <c r="E20" s="222"/>
      <c r="F20" s="223">
        <f t="shared" si="0"/>
        <v>0</v>
      </c>
      <c r="G20" s="223"/>
      <c r="H20" s="224"/>
      <c r="I20" s="224"/>
      <c r="J20" s="224"/>
      <c r="K20" s="225"/>
      <c r="L20" s="225"/>
      <c r="M20" s="226"/>
      <c r="N20" s="224"/>
      <c r="O20" s="227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  <c r="AD20" s="224"/>
      <c r="AE20" s="234"/>
      <c r="AF20" s="228">
        <f t="shared" si="1"/>
        <v>0</v>
      </c>
      <c r="AG20" s="228" t="s">
        <v>66</v>
      </c>
      <c r="AH20" s="229" t="str">
        <f t="shared" si="2"/>
        <v/>
      </c>
      <c r="AI20" s="229" t="str">
        <f t="shared" si="3"/>
        <v/>
      </c>
      <c r="AJ20" s="229" t="str">
        <f t="shared" si="4"/>
        <v/>
      </c>
      <c r="AK20" s="229" t="e">
        <f>IF(VLOOKUP($AI:$AI,'Customer Structure'!$G:$I,3,0)="Food Service","F","H")</f>
        <v>#N/A</v>
      </c>
    </row>
    <row r="21" spans="1:37" s="230" customFormat="1" ht="11.25" customHeight="1" x14ac:dyDescent="0.25">
      <c r="A21" s="219">
        <v>18</v>
      </c>
      <c r="B21" s="220"/>
      <c r="C21" s="231"/>
      <c r="D21" s="231"/>
      <c r="E21" s="222"/>
      <c r="F21" s="223">
        <f t="shared" si="0"/>
        <v>0</v>
      </c>
      <c r="G21" s="223"/>
      <c r="H21" s="224"/>
      <c r="I21" s="224"/>
      <c r="J21" s="224"/>
      <c r="K21" s="225"/>
      <c r="L21" s="225"/>
      <c r="M21" s="226"/>
      <c r="N21" s="224"/>
      <c r="O21" s="227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34"/>
      <c r="AF21" s="228">
        <f t="shared" si="1"/>
        <v>0</v>
      </c>
      <c r="AG21" s="228" t="s">
        <v>66</v>
      </c>
      <c r="AH21" s="229" t="str">
        <f t="shared" si="2"/>
        <v/>
      </c>
      <c r="AI21" s="229" t="str">
        <f t="shared" si="3"/>
        <v/>
      </c>
      <c r="AJ21" s="229" t="str">
        <f t="shared" si="4"/>
        <v/>
      </c>
      <c r="AK21" s="229" t="e">
        <f>IF(VLOOKUP($AI:$AI,'Customer Structure'!$G:$I,3,0)="Food Service","F","H")</f>
        <v>#N/A</v>
      </c>
    </row>
    <row r="22" spans="1:37" s="230" customFormat="1" ht="11.25" customHeight="1" x14ac:dyDescent="0.25">
      <c r="A22" s="219">
        <v>19</v>
      </c>
      <c r="B22" s="220"/>
      <c r="C22" s="231"/>
      <c r="D22" s="231"/>
      <c r="E22" s="222"/>
      <c r="F22" s="223">
        <f t="shared" si="0"/>
        <v>0</v>
      </c>
      <c r="G22" s="223"/>
      <c r="H22" s="224"/>
      <c r="I22" s="224"/>
      <c r="J22" s="224"/>
      <c r="K22" s="225"/>
      <c r="L22" s="225"/>
      <c r="M22" s="226"/>
      <c r="N22" s="224"/>
      <c r="O22" s="227"/>
      <c r="P22" s="224"/>
      <c r="Q22" s="224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  <c r="AD22" s="224"/>
      <c r="AE22" s="234"/>
      <c r="AF22" s="228">
        <f t="shared" si="1"/>
        <v>0</v>
      </c>
      <c r="AG22" s="228" t="s">
        <v>66</v>
      </c>
      <c r="AH22" s="229" t="str">
        <f t="shared" si="2"/>
        <v/>
      </c>
      <c r="AI22" s="229" t="str">
        <f t="shared" si="3"/>
        <v/>
      </c>
      <c r="AJ22" s="229" t="str">
        <f t="shared" si="4"/>
        <v/>
      </c>
      <c r="AK22" s="229" t="e">
        <f>IF(VLOOKUP($AI:$AI,'Customer Structure'!$G:$I,3,0)="Food Service","F","H")</f>
        <v>#N/A</v>
      </c>
    </row>
    <row r="23" spans="1:37" s="230" customFormat="1" ht="11.25" customHeight="1" x14ac:dyDescent="0.25">
      <c r="A23" s="219">
        <v>20</v>
      </c>
      <c r="B23" s="220"/>
      <c r="C23" s="231"/>
      <c r="D23" s="231"/>
      <c r="E23" s="222"/>
      <c r="F23" s="223">
        <f t="shared" si="0"/>
        <v>0</v>
      </c>
      <c r="G23" s="223"/>
      <c r="H23" s="224"/>
      <c r="I23" s="224"/>
      <c r="J23" s="224"/>
      <c r="K23" s="225"/>
      <c r="L23" s="225"/>
      <c r="M23" s="226"/>
      <c r="N23" s="224"/>
      <c r="O23" s="227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34"/>
      <c r="AF23" s="228">
        <f t="shared" si="1"/>
        <v>0</v>
      </c>
      <c r="AG23" s="228" t="s">
        <v>66</v>
      </c>
      <c r="AH23" s="229" t="str">
        <f t="shared" si="2"/>
        <v/>
      </c>
      <c r="AI23" s="229" t="str">
        <f t="shared" si="3"/>
        <v/>
      </c>
      <c r="AJ23" s="229" t="str">
        <f t="shared" si="4"/>
        <v/>
      </c>
      <c r="AK23" s="229" t="e">
        <f>IF(VLOOKUP($AI:$AI,'Customer Structure'!$G:$I,3,0)="Food Service","F","H")</f>
        <v>#N/A</v>
      </c>
    </row>
    <row r="24" spans="1:37" s="230" customFormat="1" ht="11.25" customHeight="1" x14ac:dyDescent="0.25">
      <c r="A24" s="219">
        <v>21</v>
      </c>
      <c r="B24" s="220"/>
      <c r="C24" s="231"/>
      <c r="D24" s="231"/>
      <c r="E24" s="222"/>
      <c r="F24" s="223">
        <f t="shared" si="0"/>
        <v>0</v>
      </c>
      <c r="G24" s="223"/>
      <c r="H24" s="224"/>
      <c r="I24" s="224"/>
      <c r="J24" s="224"/>
      <c r="K24" s="225"/>
      <c r="L24" s="225"/>
      <c r="M24" s="226"/>
      <c r="N24" s="224"/>
      <c r="O24" s="227"/>
      <c r="P24" s="224"/>
      <c r="Q24" s="224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  <c r="AD24" s="224"/>
      <c r="AE24" s="234"/>
      <c r="AF24" s="228">
        <f t="shared" si="1"/>
        <v>0</v>
      </c>
      <c r="AG24" s="228" t="s">
        <v>66</v>
      </c>
      <c r="AH24" s="229" t="str">
        <f t="shared" si="2"/>
        <v/>
      </c>
      <c r="AI24" s="229" t="str">
        <f t="shared" si="3"/>
        <v/>
      </c>
      <c r="AJ24" s="229" t="str">
        <f t="shared" si="4"/>
        <v/>
      </c>
      <c r="AK24" s="229" t="e">
        <f>IF(VLOOKUP($AI:$AI,'Customer Structure'!$G:$I,3,0)="Food Service","F","H")</f>
        <v>#N/A</v>
      </c>
    </row>
    <row r="25" spans="1:37" s="230" customFormat="1" ht="11.25" customHeight="1" x14ac:dyDescent="0.25">
      <c r="A25" s="219">
        <v>22</v>
      </c>
      <c r="B25" s="220"/>
      <c r="C25" s="231"/>
      <c r="D25" s="231"/>
      <c r="E25" s="222"/>
      <c r="F25" s="223">
        <f t="shared" si="0"/>
        <v>0</v>
      </c>
      <c r="G25" s="223"/>
      <c r="H25" s="224"/>
      <c r="I25" s="224"/>
      <c r="J25" s="224"/>
      <c r="K25" s="225"/>
      <c r="L25" s="225"/>
      <c r="M25" s="226"/>
      <c r="N25" s="224"/>
      <c r="O25" s="227"/>
      <c r="P25" s="224"/>
      <c r="Q25" s="224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  <c r="AD25" s="224"/>
      <c r="AE25" s="234"/>
      <c r="AF25" s="228">
        <f t="shared" si="1"/>
        <v>0</v>
      </c>
      <c r="AG25" s="228" t="s">
        <v>66</v>
      </c>
      <c r="AH25" s="229" t="str">
        <f t="shared" si="2"/>
        <v/>
      </c>
      <c r="AI25" s="229" t="str">
        <f t="shared" si="3"/>
        <v/>
      </c>
      <c r="AJ25" s="229" t="str">
        <f t="shared" si="4"/>
        <v/>
      </c>
      <c r="AK25" s="229" t="e">
        <f>IF(VLOOKUP($AI:$AI,'Customer Structure'!$G:$I,3,0)="Food Service","F","H")</f>
        <v>#N/A</v>
      </c>
    </row>
    <row r="26" spans="1:37" s="230" customFormat="1" ht="11.25" customHeight="1" x14ac:dyDescent="0.25">
      <c r="A26" s="219">
        <v>23</v>
      </c>
      <c r="B26" s="220"/>
      <c r="C26" s="231"/>
      <c r="D26" s="231"/>
      <c r="E26" s="222"/>
      <c r="F26" s="223">
        <f t="shared" si="0"/>
        <v>0</v>
      </c>
      <c r="G26" s="223"/>
      <c r="H26" s="224"/>
      <c r="I26" s="224"/>
      <c r="J26" s="224"/>
      <c r="K26" s="225"/>
      <c r="L26" s="225"/>
      <c r="M26" s="226"/>
      <c r="N26" s="224"/>
      <c r="O26" s="227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34"/>
      <c r="AF26" s="228">
        <f t="shared" si="1"/>
        <v>0</v>
      </c>
      <c r="AG26" s="228" t="s">
        <v>66</v>
      </c>
      <c r="AH26" s="229" t="str">
        <f t="shared" si="2"/>
        <v/>
      </c>
      <c r="AI26" s="229" t="str">
        <f t="shared" si="3"/>
        <v/>
      </c>
      <c r="AJ26" s="229" t="str">
        <f t="shared" si="4"/>
        <v/>
      </c>
      <c r="AK26" s="229" t="e">
        <f>IF(VLOOKUP($AI:$AI,'Customer Structure'!$G:$I,3,0)="Food Service","F","H")</f>
        <v>#N/A</v>
      </c>
    </row>
    <row r="27" spans="1:37" s="230" customFormat="1" ht="11.25" customHeight="1" x14ac:dyDescent="0.25">
      <c r="A27" s="219">
        <v>24</v>
      </c>
      <c r="B27" s="220"/>
      <c r="C27" s="231"/>
      <c r="D27" s="231"/>
      <c r="E27" s="222"/>
      <c r="F27" s="223">
        <f t="shared" si="0"/>
        <v>0</v>
      </c>
      <c r="G27" s="223"/>
      <c r="H27" s="224"/>
      <c r="I27" s="224"/>
      <c r="J27" s="224"/>
      <c r="K27" s="225"/>
      <c r="L27" s="225"/>
      <c r="M27" s="226"/>
      <c r="N27" s="224"/>
      <c r="O27" s="227"/>
      <c r="P27" s="224"/>
      <c r="Q27" s="224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  <c r="AD27" s="224"/>
      <c r="AE27" s="234"/>
      <c r="AF27" s="228">
        <f t="shared" si="1"/>
        <v>0</v>
      </c>
      <c r="AG27" s="228" t="s">
        <v>66</v>
      </c>
      <c r="AH27" s="229" t="str">
        <f t="shared" si="2"/>
        <v/>
      </c>
      <c r="AI27" s="229" t="str">
        <f t="shared" si="3"/>
        <v/>
      </c>
      <c r="AJ27" s="229" t="str">
        <f t="shared" si="4"/>
        <v/>
      </c>
      <c r="AK27" s="229" t="e">
        <f>IF(VLOOKUP($AI:$AI,'Customer Structure'!$G:$I,3,0)="Food Service","F","H")</f>
        <v>#N/A</v>
      </c>
    </row>
    <row r="28" spans="1:37" s="230" customFormat="1" ht="11.25" customHeight="1" x14ac:dyDescent="0.25">
      <c r="A28" s="219">
        <v>25</v>
      </c>
      <c r="B28" s="220"/>
      <c r="C28" s="231"/>
      <c r="D28" s="231"/>
      <c r="E28" s="222"/>
      <c r="F28" s="223">
        <f t="shared" si="0"/>
        <v>0</v>
      </c>
      <c r="G28" s="223"/>
      <c r="H28" s="224"/>
      <c r="I28" s="224"/>
      <c r="J28" s="224"/>
      <c r="K28" s="225"/>
      <c r="L28" s="225"/>
      <c r="M28" s="226"/>
      <c r="N28" s="224"/>
      <c r="O28" s="227"/>
      <c r="P28" s="224"/>
      <c r="Q28" s="224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  <c r="AD28" s="224"/>
      <c r="AE28" s="234"/>
      <c r="AF28" s="228">
        <f t="shared" si="1"/>
        <v>0</v>
      </c>
      <c r="AG28" s="228" t="s">
        <v>66</v>
      </c>
      <c r="AH28" s="229" t="str">
        <f t="shared" si="2"/>
        <v/>
      </c>
      <c r="AI28" s="229" t="str">
        <f t="shared" si="3"/>
        <v/>
      </c>
      <c r="AJ28" s="229" t="str">
        <f t="shared" si="4"/>
        <v/>
      </c>
      <c r="AK28" s="229" t="e">
        <f>IF(VLOOKUP($AI:$AI,'Customer Structure'!$G:$I,3,0)="Food Service","F","H")</f>
        <v>#N/A</v>
      </c>
    </row>
    <row r="29" spans="1:37" s="230" customFormat="1" ht="11.25" customHeight="1" x14ac:dyDescent="0.25">
      <c r="A29" s="219">
        <v>26</v>
      </c>
      <c r="B29" s="220"/>
      <c r="C29" s="231"/>
      <c r="D29" s="231"/>
      <c r="E29" s="222"/>
      <c r="F29" s="223">
        <f t="shared" si="0"/>
        <v>0</v>
      </c>
      <c r="G29" s="223"/>
      <c r="H29" s="224"/>
      <c r="I29" s="224"/>
      <c r="J29" s="224"/>
      <c r="K29" s="225"/>
      <c r="L29" s="225"/>
      <c r="M29" s="226"/>
      <c r="N29" s="224"/>
      <c r="O29" s="227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34"/>
      <c r="AF29" s="228">
        <f t="shared" si="1"/>
        <v>0</v>
      </c>
      <c r="AG29" s="228" t="s">
        <v>66</v>
      </c>
      <c r="AH29" s="229" t="str">
        <f t="shared" si="2"/>
        <v/>
      </c>
      <c r="AI29" s="229" t="str">
        <f t="shared" si="3"/>
        <v/>
      </c>
      <c r="AJ29" s="229" t="str">
        <f t="shared" si="4"/>
        <v/>
      </c>
      <c r="AK29" s="229" t="e">
        <f>IF(VLOOKUP($AI:$AI,'Customer Structure'!$G:$I,3,0)="Food Service","F","H")</f>
        <v>#N/A</v>
      </c>
    </row>
    <row r="30" spans="1:37" s="230" customFormat="1" ht="11.25" customHeight="1" x14ac:dyDescent="0.25">
      <c r="A30" s="219">
        <v>27</v>
      </c>
      <c r="B30" s="220"/>
      <c r="C30" s="231"/>
      <c r="D30" s="231"/>
      <c r="E30" s="222"/>
      <c r="F30" s="223">
        <f t="shared" si="0"/>
        <v>0</v>
      </c>
      <c r="G30" s="223"/>
      <c r="H30" s="224"/>
      <c r="I30" s="224"/>
      <c r="J30" s="224"/>
      <c r="K30" s="225"/>
      <c r="L30" s="225"/>
      <c r="M30" s="226"/>
      <c r="N30" s="224"/>
      <c r="O30" s="227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34"/>
      <c r="AF30" s="228">
        <f t="shared" si="1"/>
        <v>0</v>
      </c>
      <c r="AG30" s="228" t="s">
        <v>66</v>
      </c>
      <c r="AH30" s="229" t="str">
        <f t="shared" si="2"/>
        <v/>
      </c>
      <c r="AI30" s="229" t="str">
        <f t="shared" si="3"/>
        <v/>
      </c>
      <c r="AJ30" s="229" t="str">
        <f t="shared" si="4"/>
        <v/>
      </c>
      <c r="AK30" s="229" t="e">
        <f>IF(VLOOKUP($AI:$AI,'Customer Structure'!$G:$I,3,0)="Food Service","F","H")</f>
        <v>#N/A</v>
      </c>
    </row>
    <row r="31" spans="1:37" s="230" customFormat="1" ht="11.25" customHeight="1" x14ac:dyDescent="0.25">
      <c r="A31" s="219">
        <v>28</v>
      </c>
      <c r="B31" s="220"/>
      <c r="C31" s="231"/>
      <c r="D31" s="231"/>
      <c r="E31" s="222"/>
      <c r="F31" s="223">
        <f t="shared" si="0"/>
        <v>0</v>
      </c>
      <c r="G31" s="223"/>
      <c r="H31" s="224"/>
      <c r="I31" s="224"/>
      <c r="J31" s="224"/>
      <c r="K31" s="225"/>
      <c r="L31" s="225"/>
      <c r="M31" s="226"/>
      <c r="N31" s="224"/>
      <c r="O31" s="227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  <c r="AD31" s="224"/>
      <c r="AE31" s="234"/>
      <c r="AF31" s="228">
        <f t="shared" si="1"/>
        <v>0</v>
      </c>
      <c r="AG31" s="228" t="s">
        <v>66</v>
      </c>
      <c r="AH31" s="229" t="str">
        <f t="shared" si="2"/>
        <v/>
      </c>
      <c r="AI31" s="229" t="str">
        <f t="shared" si="3"/>
        <v/>
      </c>
      <c r="AJ31" s="229" t="str">
        <f t="shared" si="4"/>
        <v/>
      </c>
      <c r="AK31" s="229" t="e">
        <f>IF(VLOOKUP($AI:$AI,'Customer Structure'!$G:$I,3,0)="Food Service","F","H")</f>
        <v>#N/A</v>
      </c>
    </row>
    <row r="32" spans="1:37" s="230" customFormat="1" ht="11.25" customHeight="1" x14ac:dyDescent="0.25">
      <c r="A32" s="219">
        <v>29</v>
      </c>
      <c r="B32" s="220"/>
      <c r="C32" s="231"/>
      <c r="D32" s="231"/>
      <c r="E32" s="222"/>
      <c r="F32" s="223">
        <f t="shared" si="0"/>
        <v>0</v>
      </c>
      <c r="G32" s="223"/>
      <c r="H32" s="224"/>
      <c r="I32" s="224"/>
      <c r="J32" s="224"/>
      <c r="K32" s="225"/>
      <c r="L32" s="225"/>
      <c r="M32" s="226"/>
      <c r="N32" s="224"/>
      <c r="O32" s="227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  <c r="AD32" s="224"/>
      <c r="AE32" s="234"/>
      <c r="AF32" s="228">
        <f t="shared" si="1"/>
        <v>0</v>
      </c>
      <c r="AG32" s="228" t="s">
        <v>66</v>
      </c>
      <c r="AH32" s="229" t="str">
        <f t="shared" si="2"/>
        <v/>
      </c>
      <c r="AI32" s="229" t="str">
        <f t="shared" si="3"/>
        <v/>
      </c>
      <c r="AJ32" s="229" t="str">
        <f t="shared" si="4"/>
        <v/>
      </c>
      <c r="AK32" s="229" t="e">
        <f>IF(VLOOKUP($AI:$AI,'Customer Structure'!$G:$I,3,0)="Food Service","F","H")</f>
        <v>#N/A</v>
      </c>
    </row>
    <row r="33" spans="1:37" s="230" customFormat="1" ht="11.25" customHeight="1" x14ac:dyDescent="0.25">
      <c r="A33" s="219">
        <v>30</v>
      </c>
      <c r="B33" s="220"/>
      <c r="C33" s="231"/>
      <c r="D33" s="231"/>
      <c r="E33" s="222"/>
      <c r="F33" s="223">
        <f t="shared" si="0"/>
        <v>0</v>
      </c>
      <c r="G33" s="223"/>
      <c r="H33" s="224"/>
      <c r="I33" s="224"/>
      <c r="J33" s="224"/>
      <c r="K33" s="225"/>
      <c r="L33" s="225"/>
      <c r="M33" s="226"/>
      <c r="N33" s="224"/>
      <c r="O33" s="227"/>
      <c r="P33" s="224"/>
      <c r="Q33" s="224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  <c r="AD33" s="224"/>
      <c r="AE33" s="234"/>
      <c r="AF33" s="228">
        <f t="shared" si="1"/>
        <v>0</v>
      </c>
      <c r="AG33" s="228" t="s">
        <v>66</v>
      </c>
      <c r="AH33" s="229" t="str">
        <f t="shared" si="2"/>
        <v/>
      </c>
      <c r="AI33" s="229" t="str">
        <f t="shared" si="3"/>
        <v/>
      </c>
      <c r="AJ33" s="229" t="str">
        <f t="shared" si="4"/>
        <v/>
      </c>
      <c r="AK33" s="229" t="e">
        <f>IF(VLOOKUP($AI:$AI,'Customer Structure'!$G:$I,3,0)="Food Service","F","H")</f>
        <v>#N/A</v>
      </c>
    </row>
    <row r="34" spans="1:37" s="230" customFormat="1" ht="11.25" customHeight="1" x14ac:dyDescent="0.25">
      <c r="A34" s="219">
        <v>31</v>
      </c>
      <c r="B34" s="220"/>
      <c r="C34" s="231"/>
      <c r="D34" s="231"/>
      <c r="E34" s="222"/>
      <c r="F34" s="223">
        <f t="shared" si="0"/>
        <v>0</v>
      </c>
      <c r="G34" s="223"/>
      <c r="H34" s="224"/>
      <c r="I34" s="224"/>
      <c r="J34" s="224"/>
      <c r="K34" s="225"/>
      <c r="L34" s="225"/>
      <c r="M34" s="226"/>
      <c r="N34" s="224"/>
      <c r="O34" s="227"/>
      <c r="P34" s="224"/>
      <c r="Q34" s="224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  <c r="AD34" s="224"/>
      <c r="AE34" s="234"/>
      <c r="AF34" s="228">
        <f t="shared" si="1"/>
        <v>0</v>
      </c>
      <c r="AG34" s="228" t="s">
        <v>66</v>
      </c>
      <c r="AH34" s="229" t="str">
        <f t="shared" si="2"/>
        <v/>
      </c>
      <c r="AI34" s="229" t="str">
        <f t="shared" si="3"/>
        <v/>
      </c>
      <c r="AJ34" s="229" t="str">
        <f t="shared" si="4"/>
        <v/>
      </c>
      <c r="AK34" s="229" t="e">
        <f>IF(VLOOKUP($AI:$AI,'Customer Structure'!$G:$I,3,0)="Food Service","F","H")</f>
        <v>#N/A</v>
      </c>
    </row>
    <row r="35" spans="1:37" s="230" customFormat="1" ht="11.25" customHeight="1" x14ac:dyDescent="0.25">
      <c r="A35" s="219">
        <v>32</v>
      </c>
      <c r="B35" s="220"/>
      <c r="C35" s="231"/>
      <c r="D35" s="231"/>
      <c r="E35" s="222"/>
      <c r="F35" s="223">
        <f t="shared" si="0"/>
        <v>0</v>
      </c>
      <c r="G35" s="223"/>
      <c r="H35" s="224"/>
      <c r="I35" s="224"/>
      <c r="J35" s="224"/>
      <c r="K35" s="225"/>
      <c r="L35" s="225"/>
      <c r="M35" s="226"/>
      <c r="N35" s="224"/>
      <c r="O35" s="227"/>
      <c r="P35" s="224"/>
      <c r="Q35" s="224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  <c r="AD35" s="224"/>
      <c r="AE35" s="234"/>
      <c r="AF35" s="228">
        <f t="shared" si="1"/>
        <v>0</v>
      </c>
      <c r="AG35" s="228" t="s">
        <v>66</v>
      </c>
      <c r="AH35" s="229" t="str">
        <f t="shared" si="2"/>
        <v/>
      </c>
      <c r="AI35" s="229" t="str">
        <f t="shared" si="3"/>
        <v/>
      </c>
      <c r="AJ35" s="229" t="str">
        <f t="shared" si="4"/>
        <v/>
      </c>
      <c r="AK35" s="229" t="e">
        <f>IF(VLOOKUP($AI:$AI,'Customer Structure'!$G:$I,3,0)="Food Service","F","H")</f>
        <v>#N/A</v>
      </c>
    </row>
    <row r="36" spans="1:37" s="230" customFormat="1" ht="11.25" customHeight="1" x14ac:dyDescent="0.25">
      <c r="A36" s="219">
        <v>33</v>
      </c>
      <c r="B36" s="220"/>
      <c r="C36" s="231"/>
      <c r="D36" s="231"/>
      <c r="E36" s="222"/>
      <c r="F36" s="223">
        <f t="shared" si="0"/>
        <v>0</v>
      </c>
      <c r="G36" s="223"/>
      <c r="H36" s="224"/>
      <c r="I36" s="224"/>
      <c r="J36" s="224"/>
      <c r="K36" s="225"/>
      <c r="L36" s="225"/>
      <c r="M36" s="226"/>
      <c r="N36" s="224"/>
      <c r="O36" s="227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4"/>
      <c r="AE36" s="234"/>
      <c r="AF36" s="228">
        <f t="shared" si="1"/>
        <v>0</v>
      </c>
      <c r="AG36" s="228" t="s">
        <v>66</v>
      </c>
      <c r="AH36" s="229" t="str">
        <f t="shared" si="2"/>
        <v/>
      </c>
      <c r="AI36" s="229" t="str">
        <f t="shared" si="3"/>
        <v/>
      </c>
      <c r="AJ36" s="229" t="str">
        <f t="shared" si="4"/>
        <v/>
      </c>
      <c r="AK36" s="229" t="e">
        <f>IF(VLOOKUP($AI:$AI,'Customer Structure'!$G:$I,3,0)="Food Service","F","H")</f>
        <v>#N/A</v>
      </c>
    </row>
    <row r="37" spans="1:37" s="230" customFormat="1" ht="11.25" customHeight="1" x14ac:dyDescent="0.25">
      <c r="A37" s="219">
        <v>34</v>
      </c>
      <c r="B37" s="220"/>
      <c r="C37" s="231"/>
      <c r="D37" s="231"/>
      <c r="E37" s="222"/>
      <c r="F37" s="223">
        <f t="shared" si="0"/>
        <v>0</v>
      </c>
      <c r="G37" s="223"/>
      <c r="H37" s="224"/>
      <c r="I37" s="224"/>
      <c r="J37" s="224"/>
      <c r="K37" s="225"/>
      <c r="L37" s="225"/>
      <c r="M37" s="226"/>
      <c r="N37" s="224"/>
      <c r="O37" s="227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  <c r="AD37" s="224"/>
      <c r="AE37" s="234"/>
      <c r="AF37" s="228">
        <f t="shared" si="1"/>
        <v>0</v>
      </c>
      <c r="AG37" s="228" t="s">
        <v>66</v>
      </c>
      <c r="AH37" s="229" t="str">
        <f t="shared" si="2"/>
        <v/>
      </c>
      <c r="AI37" s="229" t="str">
        <f t="shared" si="3"/>
        <v/>
      </c>
      <c r="AJ37" s="229" t="str">
        <f t="shared" si="4"/>
        <v/>
      </c>
      <c r="AK37" s="229" t="e">
        <f>IF(VLOOKUP($AI:$AI,'Customer Structure'!$G:$I,3,0)="Food Service","F","H")</f>
        <v>#N/A</v>
      </c>
    </row>
    <row r="38" spans="1:37" s="230" customFormat="1" ht="11.25" customHeight="1" x14ac:dyDescent="0.25">
      <c r="A38" s="219">
        <v>35</v>
      </c>
      <c r="B38" s="220"/>
      <c r="C38" s="231"/>
      <c r="D38" s="231"/>
      <c r="E38" s="222"/>
      <c r="F38" s="223">
        <f t="shared" si="0"/>
        <v>0</v>
      </c>
      <c r="G38" s="223"/>
      <c r="H38" s="224"/>
      <c r="I38" s="224"/>
      <c r="J38" s="224"/>
      <c r="K38" s="225"/>
      <c r="L38" s="225"/>
      <c r="M38" s="226"/>
      <c r="N38" s="224"/>
      <c r="O38" s="227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34"/>
      <c r="AF38" s="228">
        <f t="shared" si="1"/>
        <v>0</v>
      </c>
      <c r="AG38" s="228" t="s">
        <v>66</v>
      </c>
      <c r="AH38" s="229" t="str">
        <f t="shared" si="2"/>
        <v/>
      </c>
      <c r="AI38" s="229" t="str">
        <f t="shared" si="3"/>
        <v/>
      </c>
      <c r="AJ38" s="229" t="str">
        <f t="shared" si="4"/>
        <v/>
      </c>
      <c r="AK38" s="229" t="e">
        <f>IF(VLOOKUP($AI:$AI,'Customer Structure'!$G:$I,3,0)="Food Service","F","H")</f>
        <v>#N/A</v>
      </c>
    </row>
    <row r="39" spans="1:37" s="230" customFormat="1" ht="11.25" customHeight="1" x14ac:dyDescent="0.25">
      <c r="A39" s="219">
        <v>36</v>
      </c>
      <c r="B39" s="220"/>
      <c r="C39" s="231"/>
      <c r="D39" s="231"/>
      <c r="E39" s="222"/>
      <c r="F39" s="223">
        <f t="shared" si="0"/>
        <v>0</v>
      </c>
      <c r="G39" s="223"/>
      <c r="H39" s="224"/>
      <c r="I39" s="224"/>
      <c r="J39" s="224"/>
      <c r="K39" s="225"/>
      <c r="L39" s="225"/>
      <c r="M39" s="226"/>
      <c r="N39" s="224"/>
      <c r="O39" s="227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  <c r="AD39" s="224"/>
      <c r="AE39" s="234"/>
      <c r="AF39" s="228">
        <f t="shared" si="1"/>
        <v>0</v>
      </c>
      <c r="AG39" s="228" t="s">
        <v>66</v>
      </c>
      <c r="AH39" s="229" t="str">
        <f t="shared" si="2"/>
        <v/>
      </c>
      <c r="AI39" s="229" t="str">
        <f t="shared" si="3"/>
        <v/>
      </c>
      <c r="AJ39" s="229" t="str">
        <f t="shared" si="4"/>
        <v/>
      </c>
      <c r="AK39" s="229" t="e">
        <f>IF(VLOOKUP($AI:$AI,'Customer Structure'!$G:$I,3,0)="Food Service","F","H")</f>
        <v>#N/A</v>
      </c>
    </row>
    <row r="40" spans="1:37" s="230" customFormat="1" ht="11.25" customHeight="1" x14ac:dyDescent="0.25">
      <c r="A40" s="219">
        <v>37</v>
      </c>
      <c r="B40" s="220"/>
      <c r="C40" s="231"/>
      <c r="D40" s="231"/>
      <c r="E40" s="222"/>
      <c r="F40" s="223">
        <f t="shared" si="0"/>
        <v>0</v>
      </c>
      <c r="G40" s="223"/>
      <c r="H40" s="224"/>
      <c r="I40" s="224"/>
      <c r="J40" s="224"/>
      <c r="K40" s="225"/>
      <c r="L40" s="225"/>
      <c r="M40" s="226"/>
      <c r="N40" s="224"/>
      <c r="O40" s="227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  <c r="AD40" s="224"/>
      <c r="AE40" s="234"/>
      <c r="AF40" s="228">
        <f t="shared" si="1"/>
        <v>0</v>
      </c>
      <c r="AG40" s="228" t="s">
        <v>66</v>
      </c>
      <c r="AH40" s="229" t="str">
        <f t="shared" si="2"/>
        <v/>
      </c>
      <c r="AI40" s="229" t="str">
        <f t="shared" si="3"/>
        <v/>
      </c>
      <c r="AJ40" s="229" t="str">
        <f t="shared" si="4"/>
        <v/>
      </c>
      <c r="AK40" s="229" t="e">
        <f>IF(VLOOKUP($AI:$AI,'Customer Structure'!$G:$I,3,0)="Food Service","F","H")</f>
        <v>#N/A</v>
      </c>
    </row>
    <row r="41" spans="1:37" s="230" customFormat="1" ht="11.25" customHeight="1" x14ac:dyDescent="0.25">
      <c r="A41" s="219">
        <v>38</v>
      </c>
      <c r="B41" s="220"/>
      <c r="C41" s="231"/>
      <c r="D41" s="231"/>
      <c r="E41" s="222"/>
      <c r="F41" s="223">
        <f t="shared" si="0"/>
        <v>0</v>
      </c>
      <c r="G41" s="223"/>
      <c r="H41" s="224"/>
      <c r="I41" s="224"/>
      <c r="J41" s="224"/>
      <c r="K41" s="225"/>
      <c r="L41" s="225"/>
      <c r="M41" s="226"/>
      <c r="N41" s="224"/>
      <c r="O41" s="227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  <c r="AD41" s="224"/>
      <c r="AE41" s="234"/>
      <c r="AF41" s="228">
        <f t="shared" si="1"/>
        <v>0</v>
      </c>
      <c r="AG41" s="228" t="s">
        <v>66</v>
      </c>
      <c r="AH41" s="229" t="str">
        <f t="shared" si="2"/>
        <v/>
      </c>
      <c r="AI41" s="229" t="str">
        <f t="shared" si="3"/>
        <v/>
      </c>
      <c r="AJ41" s="229" t="str">
        <f t="shared" si="4"/>
        <v/>
      </c>
      <c r="AK41" s="229" t="e">
        <f>IF(VLOOKUP($AI:$AI,'Customer Structure'!$G:$I,3,0)="Food Service","F","H")</f>
        <v>#N/A</v>
      </c>
    </row>
    <row r="42" spans="1:37" s="230" customFormat="1" ht="11.25" customHeight="1" x14ac:dyDescent="0.25">
      <c r="A42" s="219">
        <v>39</v>
      </c>
      <c r="B42" s="220"/>
      <c r="C42" s="231"/>
      <c r="D42" s="231"/>
      <c r="E42" s="222"/>
      <c r="F42" s="223">
        <f t="shared" si="0"/>
        <v>0</v>
      </c>
      <c r="G42" s="223"/>
      <c r="H42" s="224"/>
      <c r="I42" s="224"/>
      <c r="J42" s="224"/>
      <c r="K42" s="225"/>
      <c r="L42" s="225"/>
      <c r="M42" s="226"/>
      <c r="N42" s="224"/>
      <c r="O42" s="227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34"/>
      <c r="AF42" s="228">
        <f t="shared" si="1"/>
        <v>0</v>
      </c>
      <c r="AG42" s="228" t="s">
        <v>66</v>
      </c>
      <c r="AH42" s="229" t="str">
        <f t="shared" si="2"/>
        <v/>
      </c>
      <c r="AI42" s="229" t="str">
        <f t="shared" si="3"/>
        <v/>
      </c>
      <c r="AJ42" s="229" t="str">
        <f t="shared" si="4"/>
        <v/>
      </c>
      <c r="AK42" s="229" t="e">
        <f>IF(VLOOKUP($AI:$AI,'Customer Structure'!$G:$I,3,0)="Food Service","F","H")</f>
        <v>#N/A</v>
      </c>
    </row>
    <row r="43" spans="1:37" s="230" customFormat="1" ht="11.25" customHeight="1" x14ac:dyDescent="0.25">
      <c r="A43" s="219">
        <v>40</v>
      </c>
      <c r="B43" s="220"/>
      <c r="C43" s="231"/>
      <c r="D43" s="231"/>
      <c r="E43" s="222"/>
      <c r="F43" s="223">
        <f t="shared" si="0"/>
        <v>0</v>
      </c>
      <c r="G43" s="223"/>
      <c r="H43" s="224"/>
      <c r="I43" s="224"/>
      <c r="J43" s="224"/>
      <c r="K43" s="225"/>
      <c r="L43" s="225"/>
      <c r="M43" s="226"/>
      <c r="N43" s="224"/>
      <c r="O43" s="227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34"/>
      <c r="AF43" s="228">
        <f t="shared" si="1"/>
        <v>0</v>
      </c>
      <c r="AG43" s="228" t="s">
        <v>66</v>
      </c>
      <c r="AH43" s="229" t="str">
        <f t="shared" si="2"/>
        <v/>
      </c>
      <c r="AI43" s="229" t="str">
        <f t="shared" si="3"/>
        <v/>
      </c>
      <c r="AJ43" s="229" t="str">
        <f t="shared" si="4"/>
        <v/>
      </c>
      <c r="AK43" s="229" t="e">
        <f>IF(VLOOKUP($AI:$AI,'Customer Structure'!$G:$I,3,0)="Food Service","F","H")</f>
        <v>#N/A</v>
      </c>
    </row>
    <row r="44" spans="1:37" s="230" customFormat="1" ht="11.25" customHeight="1" x14ac:dyDescent="0.25">
      <c r="A44" s="219">
        <v>41</v>
      </c>
      <c r="B44" s="220"/>
      <c r="C44" s="231"/>
      <c r="D44" s="231"/>
      <c r="E44" s="222"/>
      <c r="F44" s="223">
        <f t="shared" si="0"/>
        <v>0</v>
      </c>
      <c r="G44" s="223"/>
      <c r="H44" s="224"/>
      <c r="I44" s="224"/>
      <c r="J44" s="224"/>
      <c r="K44" s="225"/>
      <c r="L44" s="225"/>
      <c r="M44" s="226"/>
      <c r="N44" s="224"/>
      <c r="O44" s="227"/>
      <c r="P44" s="224"/>
      <c r="Q44" s="224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  <c r="AD44" s="224"/>
      <c r="AE44" s="234"/>
      <c r="AF44" s="228">
        <f t="shared" si="1"/>
        <v>0</v>
      </c>
      <c r="AG44" s="228" t="s">
        <v>66</v>
      </c>
      <c r="AH44" s="229" t="str">
        <f t="shared" si="2"/>
        <v/>
      </c>
      <c r="AI44" s="229" t="str">
        <f t="shared" si="3"/>
        <v/>
      </c>
      <c r="AJ44" s="229" t="str">
        <f t="shared" si="4"/>
        <v/>
      </c>
      <c r="AK44" s="229" t="e">
        <f>IF(VLOOKUP($AI:$AI,'Customer Structure'!$G:$I,3,0)="Food Service","F","H")</f>
        <v>#N/A</v>
      </c>
    </row>
    <row r="45" spans="1:37" s="230" customFormat="1" ht="11.25" customHeight="1" x14ac:dyDescent="0.25">
      <c r="A45" s="219">
        <v>42</v>
      </c>
      <c r="B45" s="220"/>
      <c r="C45" s="231"/>
      <c r="D45" s="231"/>
      <c r="E45" s="222"/>
      <c r="F45" s="223">
        <f t="shared" si="0"/>
        <v>0</v>
      </c>
      <c r="G45" s="223"/>
      <c r="H45" s="224"/>
      <c r="I45" s="224"/>
      <c r="J45" s="224"/>
      <c r="K45" s="225"/>
      <c r="L45" s="225"/>
      <c r="M45" s="226"/>
      <c r="N45" s="224"/>
      <c r="O45" s="227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224"/>
      <c r="AE45" s="234"/>
      <c r="AF45" s="228">
        <f t="shared" si="1"/>
        <v>0</v>
      </c>
      <c r="AG45" s="228" t="s">
        <v>66</v>
      </c>
      <c r="AH45" s="229" t="str">
        <f t="shared" si="2"/>
        <v/>
      </c>
      <c r="AI45" s="229" t="str">
        <f t="shared" si="3"/>
        <v/>
      </c>
      <c r="AJ45" s="229" t="str">
        <f t="shared" si="4"/>
        <v/>
      </c>
      <c r="AK45" s="229" t="e">
        <f>IF(VLOOKUP($AI:$AI,'Customer Structure'!$G:$I,3,0)="Food Service","F","H")</f>
        <v>#N/A</v>
      </c>
    </row>
    <row r="46" spans="1:37" s="230" customFormat="1" ht="11.25" customHeight="1" x14ac:dyDescent="0.25">
      <c r="A46" s="219">
        <v>43</v>
      </c>
      <c r="B46" s="220"/>
      <c r="C46" s="231"/>
      <c r="D46" s="231"/>
      <c r="E46" s="222"/>
      <c r="F46" s="223">
        <f t="shared" si="0"/>
        <v>0</v>
      </c>
      <c r="G46" s="223"/>
      <c r="H46" s="224"/>
      <c r="I46" s="224"/>
      <c r="J46" s="224"/>
      <c r="K46" s="225"/>
      <c r="L46" s="225"/>
      <c r="M46" s="226"/>
      <c r="N46" s="224"/>
      <c r="O46" s="227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34"/>
      <c r="AF46" s="228">
        <f t="shared" si="1"/>
        <v>0</v>
      </c>
      <c r="AG46" s="228" t="s">
        <v>66</v>
      </c>
      <c r="AH46" s="229" t="str">
        <f t="shared" si="2"/>
        <v/>
      </c>
      <c r="AI46" s="229" t="str">
        <f t="shared" si="3"/>
        <v/>
      </c>
      <c r="AJ46" s="229" t="str">
        <f t="shared" si="4"/>
        <v/>
      </c>
      <c r="AK46" s="229" t="e">
        <f>IF(VLOOKUP($AI:$AI,'Customer Structure'!$G:$I,3,0)="Food Service","F","H")</f>
        <v>#N/A</v>
      </c>
    </row>
    <row r="47" spans="1:37" s="230" customFormat="1" ht="11.25" customHeight="1" x14ac:dyDescent="0.25">
      <c r="A47" s="219">
        <v>44</v>
      </c>
      <c r="B47" s="220"/>
      <c r="C47" s="231"/>
      <c r="D47" s="231"/>
      <c r="E47" s="222"/>
      <c r="F47" s="223">
        <f t="shared" si="0"/>
        <v>0</v>
      </c>
      <c r="G47" s="223"/>
      <c r="H47" s="224"/>
      <c r="I47" s="224"/>
      <c r="J47" s="224"/>
      <c r="K47" s="225"/>
      <c r="L47" s="225"/>
      <c r="M47" s="226"/>
      <c r="N47" s="224"/>
      <c r="O47" s="227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34"/>
      <c r="AF47" s="228">
        <f t="shared" si="1"/>
        <v>0</v>
      </c>
      <c r="AG47" s="228" t="s">
        <v>66</v>
      </c>
      <c r="AH47" s="229" t="str">
        <f t="shared" si="2"/>
        <v/>
      </c>
      <c r="AI47" s="229" t="str">
        <f t="shared" si="3"/>
        <v/>
      </c>
      <c r="AJ47" s="229" t="str">
        <f t="shared" si="4"/>
        <v/>
      </c>
      <c r="AK47" s="229" t="e">
        <f>IF(VLOOKUP($AI:$AI,'Customer Structure'!$G:$I,3,0)="Food Service","F","H")</f>
        <v>#N/A</v>
      </c>
    </row>
    <row r="48" spans="1:37" s="230" customFormat="1" ht="11.25" customHeight="1" x14ac:dyDescent="0.25">
      <c r="A48" s="219">
        <v>45</v>
      </c>
      <c r="B48" s="220"/>
      <c r="C48" s="231"/>
      <c r="D48" s="231"/>
      <c r="E48" s="222"/>
      <c r="F48" s="223">
        <f t="shared" si="0"/>
        <v>0</v>
      </c>
      <c r="G48" s="223"/>
      <c r="H48" s="224"/>
      <c r="I48" s="224"/>
      <c r="J48" s="224"/>
      <c r="K48" s="225"/>
      <c r="L48" s="225"/>
      <c r="M48" s="226"/>
      <c r="N48" s="224"/>
      <c r="O48" s="227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  <c r="AD48" s="224"/>
      <c r="AE48" s="234"/>
      <c r="AF48" s="228">
        <f t="shared" si="1"/>
        <v>0</v>
      </c>
      <c r="AG48" s="228" t="s">
        <v>66</v>
      </c>
      <c r="AH48" s="229" t="str">
        <f t="shared" si="2"/>
        <v/>
      </c>
      <c r="AI48" s="229" t="str">
        <f t="shared" si="3"/>
        <v/>
      </c>
      <c r="AJ48" s="229" t="str">
        <f t="shared" si="4"/>
        <v/>
      </c>
      <c r="AK48" s="229" t="e">
        <f>IF(VLOOKUP($AI:$AI,'Customer Structure'!$G:$I,3,0)="Food Service","F","H")</f>
        <v>#N/A</v>
      </c>
    </row>
    <row r="49" spans="1:37" s="230" customFormat="1" ht="11.25" customHeight="1" x14ac:dyDescent="0.25">
      <c r="A49" s="219">
        <v>46</v>
      </c>
      <c r="B49" s="220"/>
      <c r="C49" s="231"/>
      <c r="D49" s="231"/>
      <c r="E49" s="222"/>
      <c r="F49" s="223">
        <f t="shared" si="0"/>
        <v>0</v>
      </c>
      <c r="G49" s="223"/>
      <c r="H49" s="224"/>
      <c r="I49" s="224"/>
      <c r="J49" s="224"/>
      <c r="K49" s="225"/>
      <c r="L49" s="225"/>
      <c r="M49" s="226"/>
      <c r="N49" s="224"/>
      <c r="O49" s="227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  <c r="AD49" s="224"/>
      <c r="AE49" s="234"/>
      <c r="AF49" s="228">
        <f t="shared" si="1"/>
        <v>0</v>
      </c>
      <c r="AG49" s="228" t="s">
        <v>66</v>
      </c>
      <c r="AH49" s="229" t="str">
        <f t="shared" si="2"/>
        <v/>
      </c>
      <c r="AI49" s="229" t="str">
        <f t="shared" si="3"/>
        <v/>
      </c>
      <c r="AJ49" s="229" t="str">
        <f t="shared" si="4"/>
        <v/>
      </c>
      <c r="AK49" s="229" t="e">
        <f>IF(VLOOKUP($AI:$AI,'Customer Structure'!$G:$I,3,0)="Food Service","F","H")</f>
        <v>#N/A</v>
      </c>
    </row>
    <row r="50" spans="1:37" s="230" customFormat="1" ht="11.25" customHeight="1" x14ac:dyDescent="0.25">
      <c r="A50" s="219">
        <v>47</v>
      </c>
      <c r="B50" s="220"/>
      <c r="C50" s="231"/>
      <c r="D50" s="231"/>
      <c r="E50" s="222"/>
      <c r="F50" s="223">
        <f t="shared" si="0"/>
        <v>0</v>
      </c>
      <c r="G50" s="223"/>
      <c r="H50" s="224"/>
      <c r="I50" s="224"/>
      <c r="J50" s="224"/>
      <c r="K50" s="225"/>
      <c r="L50" s="225"/>
      <c r="M50" s="226"/>
      <c r="N50" s="224"/>
      <c r="O50" s="227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  <c r="AD50" s="224"/>
      <c r="AE50" s="234"/>
      <c r="AF50" s="228">
        <f t="shared" si="1"/>
        <v>0</v>
      </c>
      <c r="AG50" s="228" t="s">
        <v>66</v>
      </c>
      <c r="AH50" s="229" t="str">
        <f t="shared" si="2"/>
        <v/>
      </c>
      <c r="AI50" s="229" t="str">
        <f t="shared" si="3"/>
        <v/>
      </c>
      <c r="AJ50" s="229" t="str">
        <f t="shared" si="4"/>
        <v/>
      </c>
      <c r="AK50" s="229" t="e">
        <f>IF(VLOOKUP($AI:$AI,'Customer Structure'!$G:$I,3,0)="Food Service","F","H")</f>
        <v>#N/A</v>
      </c>
    </row>
    <row r="51" spans="1:37" s="230" customFormat="1" ht="11.25" customHeight="1" x14ac:dyDescent="0.25">
      <c r="A51" s="219">
        <v>48</v>
      </c>
      <c r="B51" s="220"/>
      <c r="C51" s="231"/>
      <c r="D51" s="231"/>
      <c r="E51" s="222"/>
      <c r="F51" s="223">
        <f t="shared" si="0"/>
        <v>0</v>
      </c>
      <c r="G51" s="223"/>
      <c r="H51" s="224"/>
      <c r="I51" s="224"/>
      <c r="J51" s="224"/>
      <c r="K51" s="225"/>
      <c r="L51" s="225"/>
      <c r="M51" s="226"/>
      <c r="N51" s="224"/>
      <c r="O51" s="227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34"/>
      <c r="AF51" s="228">
        <f t="shared" si="1"/>
        <v>0</v>
      </c>
      <c r="AG51" s="228" t="s">
        <v>66</v>
      </c>
      <c r="AH51" s="229" t="str">
        <f t="shared" si="2"/>
        <v/>
      </c>
      <c r="AI51" s="229" t="str">
        <f t="shared" si="3"/>
        <v/>
      </c>
      <c r="AJ51" s="229" t="str">
        <f t="shared" si="4"/>
        <v/>
      </c>
      <c r="AK51" s="229" t="e">
        <f>IF(VLOOKUP($AI:$AI,'Customer Structure'!$G:$I,3,0)="Food Service","F","H")</f>
        <v>#N/A</v>
      </c>
    </row>
    <row r="52" spans="1:37" s="230" customFormat="1" ht="11.25" customHeight="1" x14ac:dyDescent="0.25">
      <c r="A52" s="219">
        <v>49</v>
      </c>
      <c r="B52" s="220"/>
      <c r="C52" s="231"/>
      <c r="D52" s="231"/>
      <c r="E52" s="222"/>
      <c r="F52" s="223">
        <f t="shared" si="0"/>
        <v>0</v>
      </c>
      <c r="G52" s="223"/>
      <c r="H52" s="224"/>
      <c r="I52" s="224"/>
      <c r="J52" s="224"/>
      <c r="K52" s="225"/>
      <c r="L52" s="225"/>
      <c r="M52" s="226"/>
      <c r="N52" s="224"/>
      <c r="O52" s="227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  <c r="AD52" s="224"/>
      <c r="AE52" s="234"/>
      <c r="AF52" s="228">
        <f t="shared" si="1"/>
        <v>0</v>
      </c>
      <c r="AG52" s="228" t="s">
        <v>66</v>
      </c>
      <c r="AH52" s="229" t="str">
        <f t="shared" si="2"/>
        <v/>
      </c>
      <c r="AI52" s="229" t="str">
        <f t="shared" si="3"/>
        <v/>
      </c>
      <c r="AJ52" s="229" t="str">
        <f t="shared" si="4"/>
        <v/>
      </c>
      <c r="AK52" s="229" t="e">
        <f>IF(VLOOKUP($AI:$AI,'Customer Structure'!$G:$I,3,0)="Food Service","F","H")</f>
        <v>#N/A</v>
      </c>
    </row>
    <row r="53" spans="1:37" s="230" customFormat="1" ht="11.25" customHeight="1" x14ac:dyDescent="0.25">
      <c r="A53" s="219">
        <v>50</v>
      </c>
      <c r="B53" s="220"/>
      <c r="C53" s="231"/>
      <c r="D53" s="231"/>
      <c r="E53" s="222"/>
      <c r="F53" s="223">
        <f t="shared" si="0"/>
        <v>0</v>
      </c>
      <c r="G53" s="223"/>
      <c r="H53" s="224"/>
      <c r="I53" s="224"/>
      <c r="J53" s="224"/>
      <c r="K53" s="225"/>
      <c r="L53" s="225"/>
      <c r="M53" s="226"/>
      <c r="N53" s="224"/>
      <c r="O53" s="227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  <c r="AD53" s="224"/>
      <c r="AE53" s="234"/>
      <c r="AF53" s="228">
        <f t="shared" si="1"/>
        <v>0</v>
      </c>
      <c r="AG53" s="228" t="s">
        <v>66</v>
      </c>
      <c r="AH53" s="229" t="str">
        <f t="shared" si="2"/>
        <v/>
      </c>
      <c r="AI53" s="229" t="str">
        <f t="shared" si="3"/>
        <v/>
      </c>
      <c r="AJ53" s="229" t="str">
        <f t="shared" si="4"/>
        <v/>
      </c>
      <c r="AK53" s="229" t="e">
        <f>IF(VLOOKUP($AI:$AI,'Customer Structure'!$G:$I,3,0)="Food Service","F","H")</f>
        <v>#N/A</v>
      </c>
    </row>
    <row r="54" spans="1:37" s="230" customFormat="1" ht="11.25" customHeight="1" x14ac:dyDescent="0.25">
      <c r="A54" s="219">
        <v>51</v>
      </c>
      <c r="B54" s="220"/>
      <c r="C54" s="231"/>
      <c r="D54" s="231"/>
      <c r="E54" s="222"/>
      <c r="F54" s="223">
        <f t="shared" si="0"/>
        <v>0</v>
      </c>
      <c r="G54" s="223"/>
      <c r="H54" s="224"/>
      <c r="I54" s="224"/>
      <c r="J54" s="224"/>
      <c r="K54" s="225"/>
      <c r="L54" s="225"/>
      <c r="M54" s="226"/>
      <c r="N54" s="224"/>
      <c r="O54" s="227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  <c r="AD54" s="224"/>
      <c r="AE54" s="234"/>
      <c r="AF54" s="228">
        <f t="shared" si="1"/>
        <v>0</v>
      </c>
      <c r="AG54" s="228" t="s">
        <v>66</v>
      </c>
      <c r="AH54" s="229" t="str">
        <f t="shared" si="2"/>
        <v/>
      </c>
      <c r="AI54" s="229" t="str">
        <f t="shared" si="3"/>
        <v/>
      </c>
      <c r="AJ54" s="229" t="str">
        <f t="shared" si="4"/>
        <v/>
      </c>
      <c r="AK54" s="229" t="e">
        <f>IF(VLOOKUP($AI:$AI,'Customer Structure'!$G:$I,3,0)="Food Service","F","H")</f>
        <v>#N/A</v>
      </c>
    </row>
    <row r="55" spans="1:37" s="230" customFormat="1" ht="11.25" customHeight="1" x14ac:dyDescent="0.25">
      <c r="A55" s="219">
        <v>52</v>
      </c>
      <c r="B55" s="220"/>
      <c r="C55" s="231"/>
      <c r="D55" s="231"/>
      <c r="E55" s="222"/>
      <c r="F55" s="223">
        <f t="shared" si="0"/>
        <v>0</v>
      </c>
      <c r="G55" s="223"/>
      <c r="H55" s="224"/>
      <c r="I55" s="224"/>
      <c r="J55" s="224"/>
      <c r="K55" s="225"/>
      <c r="L55" s="225"/>
      <c r="M55" s="226"/>
      <c r="N55" s="224"/>
      <c r="O55" s="227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34"/>
      <c r="AF55" s="228">
        <f t="shared" si="1"/>
        <v>0</v>
      </c>
      <c r="AG55" s="228" t="s">
        <v>66</v>
      </c>
      <c r="AH55" s="229" t="str">
        <f t="shared" si="2"/>
        <v/>
      </c>
      <c r="AI55" s="229" t="str">
        <f t="shared" si="3"/>
        <v/>
      </c>
      <c r="AJ55" s="229" t="str">
        <f t="shared" si="4"/>
        <v/>
      </c>
      <c r="AK55" s="229" t="e">
        <f>IF(VLOOKUP($AI:$AI,'Customer Structure'!$G:$I,3,0)="Food Service","F","H")</f>
        <v>#N/A</v>
      </c>
    </row>
    <row r="56" spans="1:37" s="230" customFormat="1" ht="11.25" customHeight="1" x14ac:dyDescent="0.25">
      <c r="A56" s="219">
        <v>53</v>
      </c>
      <c r="B56" s="220"/>
      <c r="C56" s="231"/>
      <c r="D56" s="231"/>
      <c r="E56" s="222"/>
      <c r="F56" s="223">
        <f t="shared" si="0"/>
        <v>0</v>
      </c>
      <c r="G56" s="223"/>
      <c r="H56" s="224"/>
      <c r="I56" s="224"/>
      <c r="J56" s="224"/>
      <c r="K56" s="225"/>
      <c r="L56" s="225"/>
      <c r="M56" s="226"/>
      <c r="N56" s="224"/>
      <c r="O56" s="227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  <c r="AD56" s="224"/>
      <c r="AE56" s="234"/>
      <c r="AF56" s="228">
        <f t="shared" si="1"/>
        <v>0</v>
      </c>
      <c r="AG56" s="228" t="s">
        <v>66</v>
      </c>
      <c r="AH56" s="229" t="str">
        <f t="shared" si="2"/>
        <v/>
      </c>
      <c r="AI56" s="229" t="str">
        <f t="shared" si="3"/>
        <v/>
      </c>
      <c r="AJ56" s="229" t="str">
        <f t="shared" si="4"/>
        <v/>
      </c>
      <c r="AK56" s="229" t="e">
        <f>IF(VLOOKUP($AI:$AI,'Customer Structure'!$G:$I,3,0)="Food Service","F","H")</f>
        <v>#N/A</v>
      </c>
    </row>
    <row r="57" spans="1:37" s="230" customFormat="1" ht="11.25" customHeight="1" x14ac:dyDescent="0.25">
      <c r="A57" s="219">
        <v>54</v>
      </c>
      <c r="B57" s="220"/>
      <c r="C57" s="231"/>
      <c r="D57" s="231"/>
      <c r="E57" s="222"/>
      <c r="F57" s="223">
        <f t="shared" si="0"/>
        <v>0</v>
      </c>
      <c r="G57" s="223"/>
      <c r="H57" s="224"/>
      <c r="I57" s="224"/>
      <c r="J57" s="224"/>
      <c r="K57" s="225"/>
      <c r="L57" s="225"/>
      <c r="M57" s="226"/>
      <c r="N57" s="224"/>
      <c r="O57" s="227"/>
      <c r="P57" s="224"/>
      <c r="Q57" s="224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  <c r="AD57" s="224"/>
      <c r="AE57" s="234"/>
      <c r="AF57" s="228">
        <f t="shared" si="1"/>
        <v>0</v>
      </c>
      <c r="AG57" s="228" t="s">
        <v>66</v>
      </c>
      <c r="AH57" s="229" t="str">
        <f t="shared" si="2"/>
        <v/>
      </c>
      <c r="AI57" s="229" t="str">
        <f t="shared" si="3"/>
        <v/>
      </c>
      <c r="AJ57" s="229" t="str">
        <f t="shared" si="4"/>
        <v/>
      </c>
      <c r="AK57" s="229" t="e">
        <f>IF(VLOOKUP($AI:$AI,'Customer Structure'!$G:$I,3,0)="Food Service","F","H")</f>
        <v>#N/A</v>
      </c>
    </row>
    <row r="58" spans="1:37" s="230" customFormat="1" ht="11.25" customHeight="1" x14ac:dyDescent="0.25">
      <c r="A58" s="219">
        <v>55</v>
      </c>
      <c r="B58" s="220"/>
      <c r="C58" s="231"/>
      <c r="D58" s="231"/>
      <c r="E58" s="222"/>
      <c r="F58" s="223">
        <f t="shared" si="0"/>
        <v>0</v>
      </c>
      <c r="G58" s="223"/>
      <c r="H58" s="224"/>
      <c r="I58" s="224"/>
      <c r="J58" s="224"/>
      <c r="K58" s="225"/>
      <c r="L58" s="225"/>
      <c r="M58" s="226"/>
      <c r="N58" s="224"/>
      <c r="O58" s="227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  <c r="AD58" s="224"/>
      <c r="AE58" s="234"/>
      <c r="AF58" s="228">
        <f t="shared" si="1"/>
        <v>0</v>
      </c>
      <c r="AG58" s="228" t="s">
        <v>66</v>
      </c>
      <c r="AH58" s="229" t="str">
        <f t="shared" si="2"/>
        <v/>
      </c>
      <c r="AI58" s="229" t="str">
        <f t="shared" si="3"/>
        <v/>
      </c>
      <c r="AJ58" s="229" t="str">
        <f t="shared" si="4"/>
        <v/>
      </c>
      <c r="AK58" s="229" t="e">
        <f>IF(VLOOKUP($AI:$AI,'Customer Structure'!$G:$I,3,0)="Food Service","F","H")</f>
        <v>#N/A</v>
      </c>
    </row>
    <row r="59" spans="1:37" s="230" customFormat="1" ht="11.25" customHeight="1" x14ac:dyDescent="0.25">
      <c r="A59" s="219">
        <v>56</v>
      </c>
      <c r="B59" s="220"/>
      <c r="C59" s="231"/>
      <c r="D59" s="231"/>
      <c r="E59" s="222"/>
      <c r="F59" s="223">
        <f t="shared" si="0"/>
        <v>0</v>
      </c>
      <c r="G59" s="223"/>
      <c r="H59" s="224"/>
      <c r="I59" s="224"/>
      <c r="J59" s="224"/>
      <c r="K59" s="225"/>
      <c r="L59" s="225"/>
      <c r="M59" s="226"/>
      <c r="N59" s="224"/>
      <c r="O59" s="227"/>
      <c r="P59" s="224"/>
      <c r="Q59" s="224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  <c r="AD59" s="224"/>
      <c r="AE59" s="234"/>
      <c r="AF59" s="228">
        <f t="shared" si="1"/>
        <v>0</v>
      </c>
      <c r="AG59" s="228" t="s">
        <v>66</v>
      </c>
      <c r="AH59" s="229" t="str">
        <f t="shared" si="2"/>
        <v/>
      </c>
      <c r="AI59" s="229" t="str">
        <f t="shared" si="3"/>
        <v/>
      </c>
      <c r="AJ59" s="229" t="str">
        <f t="shared" si="4"/>
        <v/>
      </c>
      <c r="AK59" s="229" t="e">
        <f>IF(VLOOKUP($AI:$AI,'Customer Structure'!$G:$I,3,0)="Food Service","F","H")</f>
        <v>#N/A</v>
      </c>
    </row>
    <row r="60" spans="1:37" s="230" customFormat="1" ht="11.25" customHeight="1" x14ac:dyDescent="0.25">
      <c r="A60" s="219">
        <v>57</v>
      </c>
      <c r="B60" s="220"/>
      <c r="C60" s="231"/>
      <c r="D60" s="231"/>
      <c r="E60" s="222"/>
      <c r="F60" s="223">
        <f t="shared" si="0"/>
        <v>0</v>
      </c>
      <c r="G60" s="223"/>
      <c r="H60" s="224"/>
      <c r="I60" s="224"/>
      <c r="J60" s="224"/>
      <c r="K60" s="225"/>
      <c r="L60" s="225"/>
      <c r="M60" s="226"/>
      <c r="N60" s="224"/>
      <c r="O60" s="227"/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34"/>
      <c r="AF60" s="228">
        <f t="shared" si="1"/>
        <v>0</v>
      </c>
      <c r="AG60" s="228" t="s">
        <v>66</v>
      </c>
      <c r="AH60" s="229" t="str">
        <f t="shared" si="2"/>
        <v/>
      </c>
      <c r="AI60" s="229" t="str">
        <f t="shared" si="3"/>
        <v/>
      </c>
      <c r="AJ60" s="229" t="str">
        <f t="shared" si="4"/>
        <v/>
      </c>
      <c r="AK60" s="229" t="e">
        <f>IF(VLOOKUP($AI:$AI,'Customer Structure'!$G:$I,3,0)="Food Service","F","H")</f>
        <v>#N/A</v>
      </c>
    </row>
    <row r="61" spans="1:37" s="230" customFormat="1" ht="11.25" customHeight="1" x14ac:dyDescent="0.25">
      <c r="A61" s="219">
        <v>58</v>
      </c>
      <c r="B61" s="220"/>
      <c r="C61" s="231"/>
      <c r="D61" s="231"/>
      <c r="E61" s="222"/>
      <c r="F61" s="223">
        <f t="shared" si="0"/>
        <v>0</v>
      </c>
      <c r="G61" s="223"/>
      <c r="H61" s="224"/>
      <c r="I61" s="224"/>
      <c r="J61" s="224"/>
      <c r="K61" s="225"/>
      <c r="L61" s="225"/>
      <c r="M61" s="226"/>
      <c r="N61" s="224"/>
      <c r="O61" s="227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  <c r="AD61" s="224"/>
      <c r="AE61" s="234"/>
      <c r="AF61" s="228">
        <f t="shared" si="1"/>
        <v>0</v>
      </c>
      <c r="AG61" s="228" t="s">
        <v>66</v>
      </c>
      <c r="AH61" s="229" t="str">
        <f t="shared" si="2"/>
        <v/>
      </c>
      <c r="AI61" s="229" t="str">
        <f t="shared" si="3"/>
        <v/>
      </c>
      <c r="AJ61" s="229" t="str">
        <f t="shared" si="4"/>
        <v/>
      </c>
      <c r="AK61" s="229" t="e">
        <f>IF(VLOOKUP($AI:$AI,'Customer Structure'!$G:$I,3,0)="Food Service","F","H")</f>
        <v>#N/A</v>
      </c>
    </row>
    <row r="62" spans="1:37" s="230" customFormat="1" ht="11.25" customHeight="1" x14ac:dyDescent="0.25">
      <c r="A62" s="219">
        <v>59</v>
      </c>
      <c r="B62" s="220"/>
      <c r="C62" s="231"/>
      <c r="D62" s="231"/>
      <c r="E62" s="222"/>
      <c r="F62" s="223">
        <f t="shared" si="0"/>
        <v>0</v>
      </c>
      <c r="G62" s="223"/>
      <c r="H62" s="224"/>
      <c r="I62" s="224"/>
      <c r="J62" s="224"/>
      <c r="K62" s="225"/>
      <c r="L62" s="225"/>
      <c r="M62" s="226"/>
      <c r="N62" s="224"/>
      <c r="O62" s="227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34"/>
      <c r="AF62" s="228">
        <f t="shared" si="1"/>
        <v>0</v>
      </c>
      <c r="AG62" s="228" t="s">
        <v>66</v>
      </c>
      <c r="AH62" s="229" t="str">
        <f t="shared" si="2"/>
        <v/>
      </c>
      <c r="AI62" s="229" t="str">
        <f t="shared" si="3"/>
        <v/>
      </c>
      <c r="AJ62" s="229" t="str">
        <f t="shared" si="4"/>
        <v/>
      </c>
      <c r="AK62" s="229" t="e">
        <f>IF(VLOOKUP($AI:$AI,'Customer Structure'!$G:$I,3,0)="Food Service","F","H")</f>
        <v>#N/A</v>
      </c>
    </row>
    <row r="63" spans="1:37" s="230" customFormat="1" ht="11.25" customHeight="1" x14ac:dyDescent="0.25">
      <c r="A63" s="219">
        <v>60</v>
      </c>
      <c r="B63" s="220"/>
      <c r="C63" s="231"/>
      <c r="D63" s="231"/>
      <c r="E63" s="222"/>
      <c r="F63" s="223">
        <f t="shared" si="0"/>
        <v>0</v>
      </c>
      <c r="G63" s="223"/>
      <c r="H63" s="224"/>
      <c r="I63" s="224"/>
      <c r="J63" s="224"/>
      <c r="K63" s="225"/>
      <c r="L63" s="225"/>
      <c r="M63" s="226"/>
      <c r="N63" s="224"/>
      <c r="O63" s="227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  <c r="AD63" s="224"/>
      <c r="AE63" s="234"/>
      <c r="AF63" s="228">
        <f t="shared" si="1"/>
        <v>0</v>
      </c>
      <c r="AG63" s="228" t="s">
        <v>66</v>
      </c>
      <c r="AH63" s="229" t="str">
        <f t="shared" si="2"/>
        <v/>
      </c>
      <c r="AI63" s="229" t="str">
        <f t="shared" si="3"/>
        <v/>
      </c>
      <c r="AJ63" s="229" t="str">
        <f t="shared" si="4"/>
        <v/>
      </c>
      <c r="AK63" s="229" t="e">
        <f>IF(VLOOKUP($AI:$AI,'Customer Structure'!$G:$I,3,0)="Food Service","F","H")</f>
        <v>#N/A</v>
      </c>
    </row>
    <row r="64" spans="1:37" s="230" customFormat="1" ht="11.25" customHeight="1" x14ac:dyDescent="0.25">
      <c r="A64" s="219">
        <v>61</v>
      </c>
      <c r="B64" s="220"/>
      <c r="C64" s="231"/>
      <c r="D64" s="231"/>
      <c r="E64" s="222"/>
      <c r="F64" s="223">
        <f t="shared" si="0"/>
        <v>0</v>
      </c>
      <c r="G64" s="223"/>
      <c r="H64" s="224"/>
      <c r="I64" s="224"/>
      <c r="J64" s="224"/>
      <c r="K64" s="225"/>
      <c r="L64" s="225"/>
      <c r="M64" s="226"/>
      <c r="N64" s="224"/>
      <c r="O64" s="227"/>
      <c r="P64" s="224"/>
      <c r="Q64" s="224"/>
      <c r="R64" s="224"/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  <c r="AD64" s="224"/>
      <c r="AE64" s="234"/>
      <c r="AF64" s="228">
        <f t="shared" si="1"/>
        <v>0</v>
      </c>
      <c r="AG64" s="228" t="s">
        <v>66</v>
      </c>
      <c r="AH64" s="229" t="str">
        <f t="shared" si="2"/>
        <v/>
      </c>
      <c r="AI64" s="229" t="str">
        <f t="shared" si="3"/>
        <v/>
      </c>
      <c r="AJ64" s="229" t="str">
        <f t="shared" si="4"/>
        <v/>
      </c>
      <c r="AK64" s="229" t="e">
        <f>IF(VLOOKUP($AI:$AI,'Customer Structure'!$G:$I,3,0)="Food Service","F","H")</f>
        <v>#N/A</v>
      </c>
    </row>
    <row r="65" spans="1:37" s="230" customFormat="1" ht="11.25" customHeight="1" x14ac:dyDescent="0.25">
      <c r="A65" s="219">
        <v>62</v>
      </c>
      <c r="B65" s="220"/>
      <c r="C65" s="231"/>
      <c r="D65" s="231"/>
      <c r="E65" s="222"/>
      <c r="F65" s="223">
        <f t="shared" si="0"/>
        <v>0</v>
      </c>
      <c r="G65" s="223"/>
      <c r="H65" s="224"/>
      <c r="I65" s="224"/>
      <c r="J65" s="224"/>
      <c r="K65" s="225"/>
      <c r="L65" s="225"/>
      <c r="M65" s="226"/>
      <c r="N65" s="224"/>
      <c r="O65" s="227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  <c r="AD65" s="224"/>
      <c r="AE65" s="234"/>
      <c r="AF65" s="228">
        <f t="shared" si="1"/>
        <v>0</v>
      </c>
      <c r="AG65" s="228" t="s">
        <v>66</v>
      </c>
      <c r="AH65" s="229" t="str">
        <f t="shared" si="2"/>
        <v/>
      </c>
      <c r="AI65" s="229" t="str">
        <f t="shared" si="3"/>
        <v/>
      </c>
      <c r="AJ65" s="229" t="str">
        <f t="shared" si="4"/>
        <v/>
      </c>
      <c r="AK65" s="229" t="e">
        <f>IF(VLOOKUP($AI:$AI,'Customer Structure'!$G:$I,3,0)="Food Service","F","H")</f>
        <v>#N/A</v>
      </c>
    </row>
    <row r="66" spans="1:37" s="230" customFormat="1" ht="11.25" customHeight="1" x14ac:dyDescent="0.25">
      <c r="A66" s="219">
        <v>63</v>
      </c>
      <c r="B66" s="220"/>
      <c r="C66" s="231"/>
      <c r="D66" s="231"/>
      <c r="E66" s="222"/>
      <c r="F66" s="223">
        <f t="shared" si="0"/>
        <v>0</v>
      </c>
      <c r="G66" s="223"/>
      <c r="H66" s="224"/>
      <c r="I66" s="224"/>
      <c r="J66" s="224"/>
      <c r="K66" s="225"/>
      <c r="L66" s="225"/>
      <c r="M66" s="226"/>
      <c r="N66" s="224"/>
      <c r="O66" s="227"/>
      <c r="P66" s="224"/>
      <c r="Q66" s="224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  <c r="AD66" s="224"/>
      <c r="AE66" s="234"/>
      <c r="AF66" s="228">
        <f t="shared" si="1"/>
        <v>0</v>
      </c>
      <c r="AG66" s="228" t="s">
        <v>66</v>
      </c>
      <c r="AH66" s="229" t="str">
        <f t="shared" si="2"/>
        <v/>
      </c>
      <c r="AI66" s="229" t="str">
        <f t="shared" si="3"/>
        <v/>
      </c>
      <c r="AJ66" s="229" t="str">
        <f t="shared" si="4"/>
        <v/>
      </c>
      <c r="AK66" s="229" t="e">
        <f>IF(VLOOKUP($AI:$AI,'Customer Structure'!$G:$I,3,0)="Food Service","F","H")</f>
        <v>#N/A</v>
      </c>
    </row>
    <row r="67" spans="1:37" s="230" customFormat="1" ht="11.25" customHeight="1" x14ac:dyDescent="0.25">
      <c r="A67" s="219">
        <v>64</v>
      </c>
      <c r="B67" s="220"/>
      <c r="C67" s="231"/>
      <c r="D67" s="231"/>
      <c r="E67" s="222"/>
      <c r="F67" s="223">
        <f t="shared" si="0"/>
        <v>0</v>
      </c>
      <c r="G67" s="223"/>
      <c r="H67" s="224"/>
      <c r="I67" s="224"/>
      <c r="J67" s="224"/>
      <c r="K67" s="225"/>
      <c r="L67" s="225"/>
      <c r="M67" s="226"/>
      <c r="N67" s="224"/>
      <c r="O67" s="227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  <c r="AD67" s="224"/>
      <c r="AE67" s="234"/>
      <c r="AF67" s="228">
        <f t="shared" ref="AF67:AF103" si="5">E67</f>
        <v>0</v>
      </c>
      <c r="AG67" s="228" t="s">
        <v>66</v>
      </c>
      <c r="AH67" s="229" t="str">
        <f t="shared" ref="AH67:AH103" si="6">LEFT(K67,1)</f>
        <v/>
      </c>
      <c r="AI67" s="229" t="str">
        <f t="shared" ref="AI67:AI103" si="7">LEFT(L67,2)</f>
        <v/>
      </c>
      <c r="AJ67" s="229" t="str">
        <f t="shared" ref="AJ67:AJ103" si="8">LEFT(M67,4)</f>
        <v/>
      </c>
      <c r="AK67" s="229" t="e">
        <f>IF(VLOOKUP($AI:$AI,'Customer Structure'!$G:$I,3,0)="Food Service","F","H")</f>
        <v>#N/A</v>
      </c>
    </row>
    <row r="68" spans="1:37" s="230" customFormat="1" ht="11.25" customHeight="1" x14ac:dyDescent="0.25">
      <c r="A68" s="219">
        <v>65</v>
      </c>
      <c r="B68" s="220"/>
      <c r="C68" s="231"/>
      <c r="D68" s="231"/>
      <c r="E68" s="222"/>
      <c r="F68" s="223">
        <f t="shared" ref="F68:F103" si="9">LEN(E68)</f>
        <v>0</v>
      </c>
      <c r="G68" s="223"/>
      <c r="H68" s="224"/>
      <c r="I68" s="224"/>
      <c r="J68" s="224"/>
      <c r="K68" s="225"/>
      <c r="L68" s="225"/>
      <c r="M68" s="226"/>
      <c r="N68" s="224"/>
      <c r="O68" s="227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  <c r="AE68" s="234"/>
      <c r="AF68" s="228">
        <f t="shared" si="5"/>
        <v>0</v>
      </c>
      <c r="AG68" s="228" t="s">
        <v>66</v>
      </c>
      <c r="AH68" s="229" t="str">
        <f t="shared" si="6"/>
        <v/>
      </c>
      <c r="AI68" s="229" t="str">
        <f t="shared" si="7"/>
        <v/>
      </c>
      <c r="AJ68" s="229" t="str">
        <f t="shared" si="8"/>
        <v/>
      </c>
      <c r="AK68" s="229" t="e">
        <f>IF(VLOOKUP($AI:$AI,'Customer Structure'!$G:$I,3,0)="Food Service","F","H")</f>
        <v>#N/A</v>
      </c>
    </row>
    <row r="69" spans="1:37" s="230" customFormat="1" ht="11.25" customHeight="1" x14ac:dyDescent="0.25">
      <c r="A69" s="219">
        <v>66</v>
      </c>
      <c r="B69" s="220"/>
      <c r="C69" s="231"/>
      <c r="D69" s="231"/>
      <c r="E69" s="222"/>
      <c r="F69" s="223">
        <f t="shared" si="9"/>
        <v>0</v>
      </c>
      <c r="G69" s="223"/>
      <c r="H69" s="224"/>
      <c r="I69" s="224"/>
      <c r="J69" s="224"/>
      <c r="K69" s="225"/>
      <c r="L69" s="225"/>
      <c r="M69" s="226"/>
      <c r="N69" s="224"/>
      <c r="O69" s="227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  <c r="AD69" s="224"/>
      <c r="AE69" s="234"/>
      <c r="AF69" s="228">
        <f t="shared" si="5"/>
        <v>0</v>
      </c>
      <c r="AG69" s="228" t="s">
        <v>66</v>
      </c>
      <c r="AH69" s="229" t="str">
        <f t="shared" si="6"/>
        <v/>
      </c>
      <c r="AI69" s="229" t="str">
        <f t="shared" si="7"/>
        <v/>
      </c>
      <c r="AJ69" s="229" t="str">
        <f t="shared" si="8"/>
        <v/>
      </c>
      <c r="AK69" s="229" t="e">
        <f>IF(VLOOKUP($AI:$AI,'Customer Structure'!$G:$I,3,0)="Food Service","F","H")</f>
        <v>#N/A</v>
      </c>
    </row>
    <row r="70" spans="1:37" s="230" customFormat="1" ht="11.25" customHeight="1" x14ac:dyDescent="0.25">
      <c r="A70" s="219">
        <v>67</v>
      </c>
      <c r="B70" s="220"/>
      <c r="C70" s="231"/>
      <c r="D70" s="231"/>
      <c r="E70" s="222"/>
      <c r="F70" s="223">
        <f t="shared" si="9"/>
        <v>0</v>
      </c>
      <c r="G70" s="223"/>
      <c r="H70" s="224"/>
      <c r="I70" s="224"/>
      <c r="J70" s="224"/>
      <c r="K70" s="225"/>
      <c r="L70" s="225"/>
      <c r="M70" s="226"/>
      <c r="N70" s="224"/>
      <c r="O70" s="227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  <c r="AD70" s="224"/>
      <c r="AE70" s="234"/>
      <c r="AF70" s="228">
        <f t="shared" si="5"/>
        <v>0</v>
      </c>
      <c r="AG70" s="228" t="s">
        <v>66</v>
      </c>
      <c r="AH70" s="229" t="str">
        <f t="shared" si="6"/>
        <v/>
      </c>
      <c r="AI70" s="229" t="str">
        <f t="shared" si="7"/>
        <v/>
      </c>
      <c r="AJ70" s="229" t="str">
        <f t="shared" si="8"/>
        <v/>
      </c>
      <c r="AK70" s="229" t="e">
        <f>IF(VLOOKUP($AI:$AI,'Customer Structure'!$G:$I,3,0)="Food Service","F","H")</f>
        <v>#N/A</v>
      </c>
    </row>
    <row r="71" spans="1:37" s="230" customFormat="1" ht="11.25" customHeight="1" x14ac:dyDescent="0.25">
      <c r="A71" s="219">
        <v>68</v>
      </c>
      <c r="B71" s="220"/>
      <c r="C71" s="231"/>
      <c r="D71" s="231"/>
      <c r="E71" s="222"/>
      <c r="F71" s="223">
        <f t="shared" si="9"/>
        <v>0</v>
      </c>
      <c r="G71" s="223"/>
      <c r="H71" s="224"/>
      <c r="I71" s="224"/>
      <c r="J71" s="224"/>
      <c r="K71" s="225"/>
      <c r="L71" s="225"/>
      <c r="M71" s="226"/>
      <c r="N71" s="224"/>
      <c r="O71" s="227"/>
      <c r="P71" s="224"/>
      <c r="Q71" s="224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  <c r="AE71" s="234"/>
      <c r="AF71" s="228">
        <f t="shared" si="5"/>
        <v>0</v>
      </c>
      <c r="AG71" s="228" t="s">
        <v>66</v>
      </c>
      <c r="AH71" s="229" t="str">
        <f t="shared" si="6"/>
        <v/>
      </c>
      <c r="AI71" s="229" t="str">
        <f t="shared" si="7"/>
        <v/>
      </c>
      <c r="AJ71" s="229" t="str">
        <f t="shared" si="8"/>
        <v/>
      </c>
      <c r="AK71" s="229" t="e">
        <f>IF(VLOOKUP($AI:$AI,'Customer Structure'!$G:$I,3,0)="Food Service","F","H")</f>
        <v>#N/A</v>
      </c>
    </row>
    <row r="72" spans="1:37" s="230" customFormat="1" ht="11.25" customHeight="1" x14ac:dyDescent="0.25">
      <c r="A72" s="219">
        <v>69</v>
      </c>
      <c r="B72" s="220"/>
      <c r="C72" s="231"/>
      <c r="D72" s="231"/>
      <c r="E72" s="222"/>
      <c r="F72" s="223">
        <f t="shared" si="9"/>
        <v>0</v>
      </c>
      <c r="G72" s="223"/>
      <c r="H72" s="224"/>
      <c r="I72" s="224"/>
      <c r="J72" s="224"/>
      <c r="K72" s="225"/>
      <c r="L72" s="225"/>
      <c r="M72" s="226"/>
      <c r="N72" s="224"/>
      <c r="O72" s="227"/>
      <c r="P72" s="224"/>
      <c r="Q72" s="224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  <c r="AE72" s="234"/>
      <c r="AF72" s="228">
        <f t="shared" si="5"/>
        <v>0</v>
      </c>
      <c r="AG72" s="228" t="s">
        <v>66</v>
      </c>
      <c r="AH72" s="229" t="str">
        <f t="shared" si="6"/>
        <v/>
      </c>
      <c r="AI72" s="229" t="str">
        <f t="shared" si="7"/>
        <v/>
      </c>
      <c r="AJ72" s="229" t="str">
        <f t="shared" si="8"/>
        <v/>
      </c>
      <c r="AK72" s="229" t="e">
        <f>IF(VLOOKUP($AI:$AI,'Customer Structure'!$G:$I,3,0)="Food Service","F","H")</f>
        <v>#N/A</v>
      </c>
    </row>
    <row r="73" spans="1:37" s="230" customFormat="1" ht="11.25" customHeight="1" x14ac:dyDescent="0.25">
      <c r="A73" s="219">
        <v>70</v>
      </c>
      <c r="B73" s="220"/>
      <c r="C73" s="231"/>
      <c r="D73" s="231"/>
      <c r="E73" s="222"/>
      <c r="F73" s="223">
        <f t="shared" si="9"/>
        <v>0</v>
      </c>
      <c r="G73" s="223"/>
      <c r="H73" s="224"/>
      <c r="I73" s="224"/>
      <c r="J73" s="224"/>
      <c r="K73" s="225"/>
      <c r="L73" s="225"/>
      <c r="M73" s="226"/>
      <c r="N73" s="224"/>
      <c r="O73" s="227"/>
      <c r="P73" s="224"/>
      <c r="Q73" s="224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  <c r="AD73" s="224"/>
      <c r="AE73" s="234"/>
      <c r="AF73" s="228">
        <f t="shared" si="5"/>
        <v>0</v>
      </c>
      <c r="AG73" s="228" t="s">
        <v>66</v>
      </c>
      <c r="AH73" s="229" t="str">
        <f t="shared" si="6"/>
        <v/>
      </c>
      <c r="AI73" s="229" t="str">
        <f t="shared" si="7"/>
        <v/>
      </c>
      <c r="AJ73" s="229" t="str">
        <f t="shared" si="8"/>
        <v/>
      </c>
      <c r="AK73" s="229" t="e">
        <f>IF(VLOOKUP($AI:$AI,'Customer Structure'!$G:$I,3,0)="Food Service","F","H")</f>
        <v>#N/A</v>
      </c>
    </row>
    <row r="74" spans="1:37" s="230" customFormat="1" ht="11.25" customHeight="1" x14ac:dyDescent="0.25">
      <c r="A74" s="219">
        <v>71</v>
      </c>
      <c r="B74" s="220"/>
      <c r="C74" s="231"/>
      <c r="D74" s="231"/>
      <c r="E74" s="222"/>
      <c r="F74" s="223">
        <f t="shared" si="9"/>
        <v>0</v>
      </c>
      <c r="G74" s="223"/>
      <c r="H74" s="224"/>
      <c r="I74" s="224"/>
      <c r="J74" s="224"/>
      <c r="K74" s="225"/>
      <c r="L74" s="225"/>
      <c r="M74" s="226"/>
      <c r="N74" s="224"/>
      <c r="O74" s="227"/>
      <c r="P74" s="224"/>
      <c r="Q74" s="224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  <c r="AD74" s="224"/>
      <c r="AE74" s="234"/>
      <c r="AF74" s="228">
        <f t="shared" si="5"/>
        <v>0</v>
      </c>
      <c r="AG74" s="228" t="s">
        <v>66</v>
      </c>
      <c r="AH74" s="229" t="str">
        <f t="shared" si="6"/>
        <v/>
      </c>
      <c r="AI74" s="229" t="str">
        <f t="shared" si="7"/>
        <v/>
      </c>
      <c r="AJ74" s="229" t="str">
        <f t="shared" si="8"/>
        <v/>
      </c>
      <c r="AK74" s="229" t="e">
        <f>IF(VLOOKUP($AI:$AI,'Customer Structure'!$G:$I,3,0)="Food Service","F","H")</f>
        <v>#N/A</v>
      </c>
    </row>
    <row r="75" spans="1:37" s="230" customFormat="1" ht="11.25" customHeight="1" x14ac:dyDescent="0.25">
      <c r="A75" s="219">
        <v>72</v>
      </c>
      <c r="B75" s="220"/>
      <c r="C75" s="231"/>
      <c r="D75" s="231"/>
      <c r="E75" s="222"/>
      <c r="F75" s="223">
        <f t="shared" si="9"/>
        <v>0</v>
      </c>
      <c r="G75" s="223"/>
      <c r="H75" s="224"/>
      <c r="I75" s="224"/>
      <c r="J75" s="224"/>
      <c r="K75" s="225"/>
      <c r="L75" s="225"/>
      <c r="M75" s="226"/>
      <c r="N75" s="224"/>
      <c r="O75" s="227"/>
      <c r="P75" s="224"/>
      <c r="Q75" s="224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  <c r="AD75" s="224"/>
      <c r="AE75" s="234"/>
      <c r="AF75" s="228">
        <f t="shared" si="5"/>
        <v>0</v>
      </c>
      <c r="AG75" s="228" t="s">
        <v>66</v>
      </c>
      <c r="AH75" s="229" t="str">
        <f t="shared" si="6"/>
        <v/>
      </c>
      <c r="AI75" s="229" t="str">
        <f t="shared" si="7"/>
        <v/>
      </c>
      <c r="AJ75" s="229" t="str">
        <f t="shared" si="8"/>
        <v/>
      </c>
      <c r="AK75" s="229" t="e">
        <f>IF(VLOOKUP($AI:$AI,'Customer Structure'!$G:$I,3,0)="Food Service","F","H")</f>
        <v>#N/A</v>
      </c>
    </row>
    <row r="76" spans="1:37" s="230" customFormat="1" ht="11.25" customHeight="1" x14ac:dyDescent="0.25">
      <c r="A76" s="219">
        <v>73</v>
      </c>
      <c r="B76" s="220"/>
      <c r="C76" s="231"/>
      <c r="D76" s="231"/>
      <c r="E76" s="222"/>
      <c r="F76" s="223">
        <f t="shared" si="9"/>
        <v>0</v>
      </c>
      <c r="G76" s="223"/>
      <c r="H76" s="224"/>
      <c r="I76" s="224"/>
      <c r="J76" s="224"/>
      <c r="K76" s="225"/>
      <c r="L76" s="225"/>
      <c r="M76" s="226"/>
      <c r="N76" s="224"/>
      <c r="O76" s="227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  <c r="AE76" s="234"/>
      <c r="AF76" s="228">
        <f t="shared" si="5"/>
        <v>0</v>
      </c>
      <c r="AG76" s="228" t="s">
        <v>66</v>
      </c>
      <c r="AH76" s="229" t="str">
        <f t="shared" si="6"/>
        <v/>
      </c>
      <c r="AI76" s="229" t="str">
        <f t="shared" si="7"/>
        <v/>
      </c>
      <c r="AJ76" s="229" t="str">
        <f t="shared" si="8"/>
        <v/>
      </c>
      <c r="AK76" s="229" t="e">
        <f>IF(VLOOKUP($AI:$AI,'Customer Structure'!$G:$I,3,0)="Food Service","F","H")</f>
        <v>#N/A</v>
      </c>
    </row>
    <row r="77" spans="1:37" s="230" customFormat="1" ht="11.25" customHeight="1" x14ac:dyDescent="0.25">
      <c r="A77" s="219">
        <v>74</v>
      </c>
      <c r="B77" s="220"/>
      <c r="C77" s="231"/>
      <c r="D77" s="231"/>
      <c r="E77" s="222"/>
      <c r="F77" s="223">
        <f t="shared" si="9"/>
        <v>0</v>
      </c>
      <c r="G77" s="223"/>
      <c r="H77" s="224"/>
      <c r="I77" s="224"/>
      <c r="J77" s="224"/>
      <c r="K77" s="225"/>
      <c r="L77" s="225"/>
      <c r="M77" s="226"/>
      <c r="N77" s="224"/>
      <c r="O77" s="227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  <c r="AD77" s="224"/>
      <c r="AE77" s="234"/>
      <c r="AF77" s="228">
        <f t="shared" si="5"/>
        <v>0</v>
      </c>
      <c r="AG77" s="228" t="s">
        <v>66</v>
      </c>
      <c r="AH77" s="229" t="str">
        <f t="shared" si="6"/>
        <v/>
      </c>
      <c r="AI77" s="229" t="str">
        <f t="shared" si="7"/>
        <v/>
      </c>
      <c r="AJ77" s="229" t="str">
        <f t="shared" si="8"/>
        <v/>
      </c>
      <c r="AK77" s="229" t="e">
        <f>IF(VLOOKUP($AI:$AI,'Customer Structure'!$G:$I,3,0)="Food Service","F","H")</f>
        <v>#N/A</v>
      </c>
    </row>
    <row r="78" spans="1:37" s="230" customFormat="1" ht="11.25" customHeight="1" x14ac:dyDescent="0.25">
      <c r="A78" s="219">
        <v>75</v>
      </c>
      <c r="B78" s="220"/>
      <c r="C78" s="231"/>
      <c r="D78" s="231"/>
      <c r="E78" s="222"/>
      <c r="F78" s="223">
        <f t="shared" si="9"/>
        <v>0</v>
      </c>
      <c r="G78" s="223"/>
      <c r="H78" s="224"/>
      <c r="I78" s="224"/>
      <c r="J78" s="224"/>
      <c r="K78" s="225"/>
      <c r="L78" s="225"/>
      <c r="M78" s="226"/>
      <c r="N78" s="224"/>
      <c r="O78" s="227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  <c r="AD78" s="224"/>
      <c r="AE78" s="234"/>
      <c r="AF78" s="228">
        <f t="shared" si="5"/>
        <v>0</v>
      </c>
      <c r="AG78" s="228" t="s">
        <v>66</v>
      </c>
      <c r="AH78" s="229" t="str">
        <f t="shared" si="6"/>
        <v/>
      </c>
      <c r="AI78" s="229" t="str">
        <f t="shared" si="7"/>
        <v/>
      </c>
      <c r="AJ78" s="229" t="str">
        <f t="shared" si="8"/>
        <v/>
      </c>
      <c r="AK78" s="229" t="e">
        <f>IF(VLOOKUP($AI:$AI,'Customer Structure'!$G:$I,3,0)="Food Service","F","H")</f>
        <v>#N/A</v>
      </c>
    </row>
    <row r="79" spans="1:37" s="230" customFormat="1" ht="11.25" customHeight="1" x14ac:dyDescent="0.25">
      <c r="A79" s="219">
        <v>76</v>
      </c>
      <c r="B79" s="220"/>
      <c r="C79" s="231"/>
      <c r="D79" s="231"/>
      <c r="E79" s="222"/>
      <c r="F79" s="223">
        <f t="shared" si="9"/>
        <v>0</v>
      </c>
      <c r="G79" s="223"/>
      <c r="H79" s="224"/>
      <c r="I79" s="224"/>
      <c r="J79" s="224"/>
      <c r="K79" s="225"/>
      <c r="L79" s="225"/>
      <c r="M79" s="226"/>
      <c r="N79" s="224"/>
      <c r="O79" s="227"/>
      <c r="P79" s="224"/>
      <c r="Q79" s="224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  <c r="AD79" s="224"/>
      <c r="AE79" s="234"/>
      <c r="AF79" s="228">
        <f t="shared" si="5"/>
        <v>0</v>
      </c>
      <c r="AG79" s="228" t="s">
        <v>66</v>
      </c>
      <c r="AH79" s="229" t="str">
        <f t="shared" si="6"/>
        <v/>
      </c>
      <c r="AI79" s="229" t="str">
        <f t="shared" si="7"/>
        <v/>
      </c>
      <c r="AJ79" s="229" t="str">
        <f t="shared" si="8"/>
        <v/>
      </c>
      <c r="AK79" s="229" t="e">
        <f>IF(VLOOKUP($AI:$AI,'Customer Structure'!$G:$I,3,0)="Food Service","F","H")</f>
        <v>#N/A</v>
      </c>
    </row>
    <row r="80" spans="1:37" s="230" customFormat="1" ht="11.25" customHeight="1" x14ac:dyDescent="0.25">
      <c r="A80" s="219">
        <v>77</v>
      </c>
      <c r="B80" s="220"/>
      <c r="C80" s="231"/>
      <c r="D80" s="231"/>
      <c r="E80" s="222"/>
      <c r="F80" s="223">
        <f t="shared" si="9"/>
        <v>0</v>
      </c>
      <c r="G80" s="223"/>
      <c r="H80" s="224"/>
      <c r="I80" s="224"/>
      <c r="J80" s="224"/>
      <c r="K80" s="225"/>
      <c r="L80" s="225"/>
      <c r="M80" s="226"/>
      <c r="N80" s="224"/>
      <c r="O80" s="227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  <c r="AD80" s="224"/>
      <c r="AE80" s="234"/>
      <c r="AF80" s="228">
        <f t="shared" si="5"/>
        <v>0</v>
      </c>
      <c r="AG80" s="228" t="s">
        <v>66</v>
      </c>
      <c r="AH80" s="229" t="str">
        <f t="shared" si="6"/>
        <v/>
      </c>
      <c r="AI80" s="229" t="str">
        <f t="shared" si="7"/>
        <v/>
      </c>
      <c r="AJ80" s="229" t="str">
        <f t="shared" si="8"/>
        <v/>
      </c>
      <c r="AK80" s="229" t="e">
        <f>IF(VLOOKUP($AI:$AI,'Customer Structure'!$G:$I,3,0)="Food Service","F","H")</f>
        <v>#N/A</v>
      </c>
    </row>
    <row r="81" spans="1:37" s="230" customFormat="1" ht="11.25" customHeight="1" x14ac:dyDescent="0.25">
      <c r="A81" s="219">
        <v>78</v>
      </c>
      <c r="B81" s="220"/>
      <c r="C81" s="231"/>
      <c r="D81" s="231"/>
      <c r="E81" s="222"/>
      <c r="F81" s="223">
        <f t="shared" si="9"/>
        <v>0</v>
      </c>
      <c r="G81" s="223"/>
      <c r="H81" s="224"/>
      <c r="I81" s="224"/>
      <c r="J81" s="224"/>
      <c r="K81" s="225"/>
      <c r="L81" s="225"/>
      <c r="M81" s="226"/>
      <c r="N81" s="224"/>
      <c r="O81" s="227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  <c r="AD81" s="224"/>
      <c r="AE81" s="234"/>
      <c r="AF81" s="228">
        <f t="shared" si="5"/>
        <v>0</v>
      </c>
      <c r="AG81" s="228" t="s">
        <v>66</v>
      </c>
      <c r="AH81" s="229" t="str">
        <f t="shared" si="6"/>
        <v/>
      </c>
      <c r="AI81" s="229" t="str">
        <f t="shared" si="7"/>
        <v/>
      </c>
      <c r="AJ81" s="229" t="str">
        <f t="shared" si="8"/>
        <v/>
      </c>
      <c r="AK81" s="229" t="e">
        <f>IF(VLOOKUP($AI:$AI,'Customer Structure'!$G:$I,3,0)="Food Service","F","H")</f>
        <v>#N/A</v>
      </c>
    </row>
    <row r="82" spans="1:37" s="230" customFormat="1" ht="11.25" customHeight="1" x14ac:dyDescent="0.25">
      <c r="A82" s="219">
        <v>79</v>
      </c>
      <c r="B82" s="220"/>
      <c r="C82" s="231"/>
      <c r="D82" s="231"/>
      <c r="E82" s="222"/>
      <c r="F82" s="223">
        <f t="shared" si="9"/>
        <v>0</v>
      </c>
      <c r="G82" s="223"/>
      <c r="H82" s="224"/>
      <c r="I82" s="224"/>
      <c r="J82" s="224"/>
      <c r="K82" s="225"/>
      <c r="L82" s="225"/>
      <c r="M82" s="226"/>
      <c r="N82" s="224"/>
      <c r="O82" s="227"/>
      <c r="P82" s="224"/>
      <c r="Q82" s="224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  <c r="AD82" s="224"/>
      <c r="AE82" s="234"/>
      <c r="AF82" s="228">
        <f t="shared" si="5"/>
        <v>0</v>
      </c>
      <c r="AG82" s="228" t="s">
        <v>66</v>
      </c>
      <c r="AH82" s="229" t="str">
        <f t="shared" si="6"/>
        <v/>
      </c>
      <c r="AI82" s="229" t="str">
        <f t="shared" si="7"/>
        <v/>
      </c>
      <c r="AJ82" s="229" t="str">
        <f t="shared" si="8"/>
        <v/>
      </c>
      <c r="AK82" s="229" t="e">
        <f>IF(VLOOKUP($AI:$AI,'Customer Structure'!$G:$I,3,0)="Food Service","F","H")</f>
        <v>#N/A</v>
      </c>
    </row>
    <row r="83" spans="1:37" s="230" customFormat="1" ht="11.25" customHeight="1" x14ac:dyDescent="0.25">
      <c r="A83" s="219">
        <v>80</v>
      </c>
      <c r="B83" s="220"/>
      <c r="C83" s="231"/>
      <c r="D83" s="231"/>
      <c r="E83" s="222"/>
      <c r="F83" s="223">
        <f t="shared" si="9"/>
        <v>0</v>
      </c>
      <c r="G83" s="223"/>
      <c r="H83" s="224"/>
      <c r="I83" s="224"/>
      <c r="J83" s="224"/>
      <c r="K83" s="225"/>
      <c r="L83" s="225"/>
      <c r="M83" s="226"/>
      <c r="N83" s="224"/>
      <c r="O83" s="227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  <c r="AD83" s="224"/>
      <c r="AE83" s="234"/>
      <c r="AF83" s="228">
        <f t="shared" si="5"/>
        <v>0</v>
      </c>
      <c r="AG83" s="228" t="s">
        <v>66</v>
      </c>
      <c r="AH83" s="229" t="str">
        <f t="shared" si="6"/>
        <v/>
      </c>
      <c r="AI83" s="229" t="str">
        <f t="shared" si="7"/>
        <v/>
      </c>
      <c r="AJ83" s="229" t="str">
        <f t="shared" si="8"/>
        <v/>
      </c>
      <c r="AK83" s="229" t="e">
        <f>IF(VLOOKUP($AI:$AI,'Customer Structure'!$G:$I,3,0)="Food Service","F","H")</f>
        <v>#N/A</v>
      </c>
    </row>
    <row r="84" spans="1:37" s="230" customFormat="1" ht="11.25" customHeight="1" x14ac:dyDescent="0.25">
      <c r="A84" s="219">
        <v>81</v>
      </c>
      <c r="B84" s="220"/>
      <c r="C84" s="231"/>
      <c r="D84" s="231"/>
      <c r="E84" s="222"/>
      <c r="F84" s="223">
        <f t="shared" si="9"/>
        <v>0</v>
      </c>
      <c r="G84" s="223"/>
      <c r="H84" s="224"/>
      <c r="I84" s="224"/>
      <c r="J84" s="224"/>
      <c r="K84" s="225"/>
      <c r="L84" s="225"/>
      <c r="M84" s="226"/>
      <c r="N84" s="224"/>
      <c r="O84" s="227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  <c r="AD84" s="224"/>
      <c r="AE84" s="234"/>
      <c r="AF84" s="228">
        <f t="shared" si="5"/>
        <v>0</v>
      </c>
      <c r="AG84" s="228" t="s">
        <v>66</v>
      </c>
      <c r="AH84" s="229" t="str">
        <f t="shared" si="6"/>
        <v/>
      </c>
      <c r="AI84" s="229" t="str">
        <f t="shared" si="7"/>
        <v/>
      </c>
      <c r="AJ84" s="229" t="str">
        <f t="shared" si="8"/>
        <v/>
      </c>
      <c r="AK84" s="229" t="e">
        <f>IF(VLOOKUP($AI:$AI,'Customer Structure'!$G:$I,3,0)="Food Service","F","H")</f>
        <v>#N/A</v>
      </c>
    </row>
    <row r="85" spans="1:37" s="230" customFormat="1" ht="11.25" customHeight="1" x14ac:dyDescent="0.25">
      <c r="A85" s="219">
        <v>82</v>
      </c>
      <c r="B85" s="220"/>
      <c r="C85" s="231"/>
      <c r="D85" s="231"/>
      <c r="E85" s="222"/>
      <c r="F85" s="223">
        <f t="shared" si="9"/>
        <v>0</v>
      </c>
      <c r="G85" s="223"/>
      <c r="H85" s="224"/>
      <c r="I85" s="224"/>
      <c r="J85" s="224"/>
      <c r="K85" s="225"/>
      <c r="L85" s="225"/>
      <c r="M85" s="226"/>
      <c r="N85" s="224"/>
      <c r="O85" s="227"/>
      <c r="P85" s="224"/>
      <c r="Q85" s="224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  <c r="AD85" s="224"/>
      <c r="AE85" s="234"/>
      <c r="AF85" s="228">
        <f t="shared" si="5"/>
        <v>0</v>
      </c>
      <c r="AG85" s="228" t="s">
        <v>66</v>
      </c>
      <c r="AH85" s="229" t="str">
        <f t="shared" si="6"/>
        <v/>
      </c>
      <c r="AI85" s="229" t="str">
        <f t="shared" si="7"/>
        <v/>
      </c>
      <c r="AJ85" s="229" t="str">
        <f t="shared" si="8"/>
        <v/>
      </c>
      <c r="AK85" s="229" t="e">
        <f>IF(VLOOKUP($AI:$AI,'Customer Structure'!$G:$I,3,0)="Food Service","F","H")</f>
        <v>#N/A</v>
      </c>
    </row>
    <row r="86" spans="1:37" s="230" customFormat="1" ht="11.25" customHeight="1" x14ac:dyDescent="0.25">
      <c r="A86" s="219">
        <v>83</v>
      </c>
      <c r="B86" s="220"/>
      <c r="C86" s="231"/>
      <c r="D86" s="231"/>
      <c r="E86" s="222"/>
      <c r="F86" s="223">
        <f t="shared" si="9"/>
        <v>0</v>
      </c>
      <c r="G86" s="223"/>
      <c r="H86" s="224"/>
      <c r="I86" s="224"/>
      <c r="J86" s="224"/>
      <c r="K86" s="225"/>
      <c r="L86" s="225"/>
      <c r="M86" s="226"/>
      <c r="N86" s="224"/>
      <c r="O86" s="227"/>
      <c r="P86" s="224"/>
      <c r="Q86" s="224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  <c r="AD86" s="224"/>
      <c r="AE86" s="234"/>
      <c r="AF86" s="228">
        <f t="shared" si="5"/>
        <v>0</v>
      </c>
      <c r="AG86" s="228" t="s">
        <v>66</v>
      </c>
      <c r="AH86" s="229" t="str">
        <f t="shared" si="6"/>
        <v/>
      </c>
      <c r="AI86" s="229" t="str">
        <f t="shared" si="7"/>
        <v/>
      </c>
      <c r="AJ86" s="229" t="str">
        <f t="shared" si="8"/>
        <v/>
      </c>
      <c r="AK86" s="229" t="e">
        <f>IF(VLOOKUP($AI:$AI,'Customer Structure'!$G:$I,3,0)="Food Service","F","H")</f>
        <v>#N/A</v>
      </c>
    </row>
    <row r="87" spans="1:37" s="230" customFormat="1" ht="11.25" customHeight="1" x14ac:dyDescent="0.25">
      <c r="A87" s="219">
        <v>84</v>
      </c>
      <c r="B87" s="220"/>
      <c r="C87" s="231"/>
      <c r="D87" s="231"/>
      <c r="E87" s="222"/>
      <c r="F87" s="223">
        <f t="shared" si="9"/>
        <v>0</v>
      </c>
      <c r="G87" s="223"/>
      <c r="H87" s="224"/>
      <c r="I87" s="224"/>
      <c r="J87" s="224"/>
      <c r="K87" s="225"/>
      <c r="L87" s="225"/>
      <c r="M87" s="226"/>
      <c r="N87" s="224"/>
      <c r="O87" s="227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34"/>
      <c r="AF87" s="228">
        <f t="shared" si="5"/>
        <v>0</v>
      </c>
      <c r="AG87" s="228" t="s">
        <v>66</v>
      </c>
      <c r="AH87" s="229" t="str">
        <f t="shared" si="6"/>
        <v/>
      </c>
      <c r="AI87" s="229" t="str">
        <f t="shared" si="7"/>
        <v/>
      </c>
      <c r="AJ87" s="229" t="str">
        <f t="shared" si="8"/>
        <v/>
      </c>
      <c r="AK87" s="229" t="e">
        <f>IF(VLOOKUP($AI:$AI,'Customer Structure'!$G:$I,3,0)="Food Service","F","H")</f>
        <v>#N/A</v>
      </c>
    </row>
    <row r="88" spans="1:37" s="230" customFormat="1" ht="11.25" customHeight="1" x14ac:dyDescent="0.25">
      <c r="A88" s="219">
        <v>85</v>
      </c>
      <c r="B88" s="220"/>
      <c r="C88" s="231"/>
      <c r="D88" s="231"/>
      <c r="E88" s="222"/>
      <c r="F88" s="223">
        <f t="shared" si="9"/>
        <v>0</v>
      </c>
      <c r="G88" s="223"/>
      <c r="H88" s="224"/>
      <c r="I88" s="224"/>
      <c r="J88" s="224"/>
      <c r="K88" s="225"/>
      <c r="L88" s="225"/>
      <c r="M88" s="226"/>
      <c r="N88" s="224"/>
      <c r="O88" s="227"/>
      <c r="P88" s="224"/>
      <c r="Q88" s="224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  <c r="AD88" s="224"/>
      <c r="AE88" s="234"/>
      <c r="AF88" s="228">
        <f t="shared" si="5"/>
        <v>0</v>
      </c>
      <c r="AG88" s="228" t="s">
        <v>66</v>
      </c>
      <c r="AH88" s="229" t="str">
        <f t="shared" si="6"/>
        <v/>
      </c>
      <c r="AI88" s="229" t="str">
        <f t="shared" si="7"/>
        <v/>
      </c>
      <c r="AJ88" s="229" t="str">
        <f t="shared" si="8"/>
        <v/>
      </c>
      <c r="AK88" s="229" t="e">
        <f>IF(VLOOKUP($AI:$AI,'Customer Structure'!$G:$I,3,0)="Food Service","F","H")</f>
        <v>#N/A</v>
      </c>
    </row>
    <row r="89" spans="1:37" s="230" customFormat="1" ht="11.25" customHeight="1" x14ac:dyDescent="0.25">
      <c r="A89" s="219">
        <v>86</v>
      </c>
      <c r="B89" s="220"/>
      <c r="C89" s="231"/>
      <c r="D89" s="231"/>
      <c r="E89" s="222"/>
      <c r="F89" s="223">
        <f t="shared" si="9"/>
        <v>0</v>
      </c>
      <c r="G89" s="223"/>
      <c r="H89" s="224"/>
      <c r="I89" s="224"/>
      <c r="J89" s="224"/>
      <c r="K89" s="225"/>
      <c r="L89" s="225"/>
      <c r="M89" s="226"/>
      <c r="N89" s="224"/>
      <c r="O89" s="227"/>
      <c r="P89" s="224"/>
      <c r="Q89" s="224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  <c r="AE89" s="234"/>
      <c r="AF89" s="228">
        <f t="shared" si="5"/>
        <v>0</v>
      </c>
      <c r="AG89" s="228" t="s">
        <v>66</v>
      </c>
      <c r="AH89" s="229" t="str">
        <f t="shared" si="6"/>
        <v/>
      </c>
      <c r="AI89" s="229" t="str">
        <f t="shared" si="7"/>
        <v/>
      </c>
      <c r="AJ89" s="229" t="str">
        <f t="shared" si="8"/>
        <v/>
      </c>
      <c r="AK89" s="229" t="e">
        <f>IF(VLOOKUP($AI:$AI,'Customer Structure'!$G:$I,3,0)="Food Service","F","H")</f>
        <v>#N/A</v>
      </c>
    </row>
    <row r="90" spans="1:37" s="230" customFormat="1" ht="11.25" customHeight="1" x14ac:dyDescent="0.25">
      <c r="A90" s="219">
        <v>87</v>
      </c>
      <c r="B90" s="220"/>
      <c r="C90" s="231"/>
      <c r="D90" s="231"/>
      <c r="E90" s="222"/>
      <c r="F90" s="223">
        <f t="shared" si="9"/>
        <v>0</v>
      </c>
      <c r="G90" s="223"/>
      <c r="H90" s="224"/>
      <c r="I90" s="224"/>
      <c r="J90" s="224"/>
      <c r="K90" s="225"/>
      <c r="L90" s="225"/>
      <c r="M90" s="226"/>
      <c r="N90" s="224"/>
      <c r="O90" s="227"/>
      <c r="P90" s="224"/>
      <c r="Q90" s="224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  <c r="AD90" s="224"/>
      <c r="AE90" s="234"/>
      <c r="AF90" s="228">
        <f t="shared" si="5"/>
        <v>0</v>
      </c>
      <c r="AG90" s="228" t="s">
        <v>66</v>
      </c>
      <c r="AH90" s="229" t="str">
        <f t="shared" si="6"/>
        <v/>
      </c>
      <c r="AI90" s="229" t="str">
        <f t="shared" si="7"/>
        <v/>
      </c>
      <c r="AJ90" s="229" t="str">
        <f t="shared" si="8"/>
        <v/>
      </c>
      <c r="AK90" s="229" t="e">
        <f>IF(VLOOKUP($AI:$AI,'Customer Structure'!$G:$I,3,0)="Food Service","F","H")</f>
        <v>#N/A</v>
      </c>
    </row>
    <row r="91" spans="1:37" s="230" customFormat="1" ht="11.25" customHeight="1" x14ac:dyDescent="0.25">
      <c r="A91" s="219">
        <v>88</v>
      </c>
      <c r="B91" s="220"/>
      <c r="C91" s="231"/>
      <c r="D91" s="231"/>
      <c r="E91" s="222"/>
      <c r="F91" s="223">
        <f t="shared" si="9"/>
        <v>0</v>
      </c>
      <c r="G91" s="223"/>
      <c r="H91" s="224"/>
      <c r="I91" s="224"/>
      <c r="J91" s="224"/>
      <c r="K91" s="225"/>
      <c r="L91" s="225"/>
      <c r="M91" s="226"/>
      <c r="N91" s="224"/>
      <c r="O91" s="227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  <c r="AD91" s="224"/>
      <c r="AE91" s="234"/>
      <c r="AF91" s="228">
        <f t="shared" si="5"/>
        <v>0</v>
      </c>
      <c r="AG91" s="228" t="s">
        <v>66</v>
      </c>
      <c r="AH91" s="229" t="str">
        <f t="shared" si="6"/>
        <v/>
      </c>
      <c r="AI91" s="229" t="str">
        <f t="shared" si="7"/>
        <v/>
      </c>
      <c r="AJ91" s="229" t="str">
        <f t="shared" si="8"/>
        <v/>
      </c>
      <c r="AK91" s="229" t="e">
        <f>IF(VLOOKUP($AI:$AI,'Customer Structure'!$G:$I,3,0)="Food Service","F","H")</f>
        <v>#N/A</v>
      </c>
    </row>
    <row r="92" spans="1:37" s="230" customFormat="1" ht="11.25" customHeight="1" x14ac:dyDescent="0.25">
      <c r="A92" s="219">
        <v>89</v>
      </c>
      <c r="B92" s="220"/>
      <c r="C92" s="231"/>
      <c r="D92" s="231"/>
      <c r="E92" s="222"/>
      <c r="F92" s="223">
        <f t="shared" si="9"/>
        <v>0</v>
      </c>
      <c r="G92" s="223"/>
      <c r="H92" s="224"/>
      <c r="I92" s="224"/>
      <c r="J92" s="224"/>
      <c r="K92" s="225"/>
      <c r="L92" s="225"/>
      <c r="M92" s="226"/>
      <c r="N92" s="224"/>
      <c r="O92" s="227"/>
      <c r="P92" s="224"/>
      <c r="Q92" s="224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  <c r="AD92" s="224"/>
      <c r="AE92" s="234"/>
      <c r="AF92" s="228">
        <f t="shared" si="5"/>
        <v>0</v>
      </c>
      <c r="AG92" s="228" t="s">
        <v>66</v>
      </c>
      <c r="AH92" s="229" t="str">
        <f t="shared" si="6"/>
        <v/>
      </c>
      <c r="AI92" s="229" t="str">
        <f t="shared" si="7"/>
        <v/>
      </c>
      <c r="AJ92" s="229" t="str">
        <f t="shared" si="8"/>
        <v/>
      </c>
      <c r="AK92" s="229" t="e">
        <f>IF(VLOOKUP($AI:$AI,'Customer Structure'!$G:$I,3,0)="Food Service","F","H")</f>
        <v>#N/A</v>
      </c>
    </row>
    <row r="93" spans="1:37" s="230" customFormat="1" ht="11.25" customHeight="1" x14ac:dyDescent="0.25">
      <c r="A93" s="219">
        <v>90</v>
      </c>
      <c r="B93" s="220"/>
      <c r="C93" s="231"/>
      <c r="D93" s="231"/>
      <c r="E93" s="222"/>
      <c r="F93" s="223">
        <f t="shared" si="9"/>
        <v>0</v>
      </c>
      <c r="G93" s="223"/>
      <c r="H93" s="224"/>
      <c r="I93" s="224"/>
      <c r="J93" s="224"/>
      <c r="K93" s="225"/>
      <c r="L93" s="225"/>
      <c r="M93" s="226"/>
      <c r="N93" s="224"/>
      <c r="O93" s="227"/>
      <c r="P93" s="224"/>
      <c r="Q93" s="224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  <c r="AD93" s="224"/>
      <c r="AE93" s="234"/>
      <c r="AF93" s="228">
        <f t="shared" si="5"/>
        <v>0</v>
      </c>
      <c r="AG93" s="228" t="s">
        <v>66</v>
      </c>
      <c r="AH93" s="229" t="str">
        <f t="shared" si="6"/>
        <v/>
      </c>
      <c r="AI93" s="229" t="str">
        <f t="shared" si="7"/>
        <v/>
      </c>
      <c r="AJ93" s="229" t="str">
        <f t="shared" si="8"/>
        <v/>
      </c>
      <c r="AK93" s="229" t="e">
        <f>IF(VLOOKUP($AI:$AI,'Customer Structure'!$G:$I,3,0)="Food Service","F","H")</f>
        <v>#N/A</v>
      </c>
    </row>
    <row r="94" spans="1:37" s="230" customFormat="1" ht="11.25" customHeight="1" x14ac:dyDescent="0.25">
      <c r="A94" s="219">
        <v>91</v>
      </c>
      <c r="B94" s="220"/>
      <c r="C94" s="231"/>
      <c r="D94" s="231"/>
      <c r="E94" s="222"/>
      <c r="F94" s="223">
        <f t="shared" si="9"/>
        <v>0</v>
      </c>
      <c r="G94" s="223"/>
      <c r="H94" s="224"/>
      <c r="I94" s="224"/>
      <c r="J94" s="224"/>
      <c r="K94" s="225"/>
      <c r="L94" s="225"/>
      <c r="M94" s="226"/>
      <c r="N94" s="224"/>
      <c r="O94" s="227"/>
      <c r="P94" s="224"/>
      <c r="Q94" s="224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  <c r="AD94" s="224"/>
      <c r="AE94" s="234"/>
      <c r="AF94" s="228">
        <f t="shared" si="5"/>
        <v>0</v>
      </c>
      <c r="AG94" s="228" t="s">
        <v>66</v>
      </c>
      <c r="AH94" s="229" t="str">
        <f t="shared" si="6"/>
        <v/>
      </c>
      <c r="AI94" s="229" t="str">
        <f t="shared" si="7"/>
        <v/>
      </c>
      <c r="AJ94" s="229" t="str">
        <f t="shared" si="8"/>
        <v/>
      </c>
      <c r="AK94" s="229" t="e">
        <f>IF(VLOOKUP($AI:$AI,'Customer Structure'!$G:$I,3,0)="Food Service","F","H")</f>
        <v>#N/A</v>
      </c>
    </row>
    <row r="95" spans="1:37" s="230" customFormat="1" ht="11.25" customHeight="1" x14ac:dyDescent="0.25">
      <c r="A95" s="219">
        <v>92</v>
      </c>
      <c r="B95" s="220"/>
      <c r="C95" s="231"/>
      <c r="D95" s="231"/>
      <c r="E95" s="222"/>
      <c r="F95" s="223">
        <f t="shared" si="9"/>
        <v>0</v>
      </c>
      <c r="G95" s="223"/>
      <c r="H95" s="224"/>
      <c r="I95" s="224"/>
      <c r="J95" s="224"/>
      <c r="K95" s="225"/>
      <c r="L95" s="225"/>
      <c r="M95" s="226"/>
      <c r="N95" s="224"/>
      <c r="O95" s="227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  <c r="AD95" s="224"/>
      <c r="AE95" s="234"/>
      <c r="AF95" s="228">
        <f t="shared" si="5"/>
        <v>0</v>
      </c>
      <c r="AG95" s="228" t="s">
        <v>66</v>
      </c>
      <c r="AH95" s="229" t="str">
        <f t="shared" si="6"/>
        <v/>
      </c>
      <c r="AI95" s="229" t="str">
        <f t="shared" si="7"/>
        <v/>
      </c>
      <c r="AJ95" s="229" t="str">
        <f t="shared" si="8"/>
        <v/>
      </c>
      <c r="AK95" s="229" t="e">
        <f>IF(VLOOKUP($AI:$AI,'Customer Structure'!$G:$I,3,0)="Food Service","F","H")</f>
        <v>#N/A</v>
      </c>
    </row>
    <row r="96" spans="1:37" s="230" customFormat="1" ht="11.25" customHeight="1" x14ac:dyDescent="0.25">
      <c r="A96" s="219">
        <v>93</v>
      </c>
      <c r="B96" s="220"/>
      <c r="C96" s="231"/>
      <c r="D96" s="231"/>
      <c r="E96" s="222"/>
      <c r="F96" s="223">
        <f t="shared" si="9"/>
        <v>0</v>
      </c>
      <c r="G96" s="223"/>
      <c r="H96" s="224"/>
      <c r="I96" s="224"/>
      <c r="J96" s="224"/>
      <c r="K96" s="225"/>
      <c r="L96" s="225"/>
      <c r="M96" s="226"/>
      <c r="N96" s="224"/>
      <c r="O96" s="227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  <c r="AD96" s="224"/>
      <c r="AE96" s="234"/>
      <c r="AF96" s="228">
        <f t="shared" si="5"/>
        <v>0</v>
      </c>
      <c r="AG96" s="228" t="s">
        <v>66</v>
      </c>
      <c r="AH96" s="229" t="str">
        <f t="shared" si="6"/>
        <v/>
      </c>
      <c r="AI96" s="229" t="str">
        <f t="shared" si="7"/>
        <v/>
      </c>
      <c r="AJ96" s="229" t="str">
        <f t="shared" si="8"/>
        <v/>
      </c>
      <c r="AK96" s="229" t="e">
        <f>IF(VLOOKUP($AI:$AI,'Customer Structure'!$G:$I,3,0)="Food Service","F","H")</f>
        <v>#N/A</v>
      </c>
    </row>
    <row r="97" spans="1:37" s="230" customFormat="1" ht="11.25" customHeight="1" x14ac:dyDescent="0.25">
      <c r="A97" s="219">
        <v>94</v>
      </c>
      <c r="B97" s="220"/>
      <c r="C97" s="231"/>
      <c r="D97" s="231"/>
      <c r="E97" s="222"/>
      <c r="F97" s="223">
        <f t="shared" si="9"/>
        <v>0</v>
      </c>
      <c r="G97" s="223"/>
      <c r="H97" s="224"/>
      <c r="I97" s="224"/>
      <c r="J97" s="224"/>
      <c r="K97" s="225"/>
      <c r="L97" s="225"/>
      <c r="M97" s="226"/>
      <c r="N97" s="224"/>
      <c r="O97" s="227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  <c r="AD97" s="224"/>
      <c r="AE97" s="234"/>
      <c r="AF97" s="228">
        <f t="shared" si="5"/>
        <v>0</v>
      </c>
      <c r="AG97" s="228" t="s">
        <v>66</v>
      </c>
      <c r="AH97" s="229" t="str">
        <f t="shared" si="6"/>
        <v/>
      </c>
      <c r="AI97" s="229" t="str">
        <f t="shared" si="7"/>
        <v/>
      </c>
      <c r="AJ97" s="229" t="str">
        <f t="shared" si="8"/>
        <v/>
      </c>
      <c r="AK97" s="229" t="e">
        <f>IF(VLOOKUP($AI:$AI,'Customer Structure'!$G:$I,3,0)="Food Service","F","H")</f>
        <v>#N/A</v>
      </c>
    </row>
    <row r="98" spans="1:37" s="230" customFormat="1" ht="11.25" customHeight="1" x14ac:dyDescent="0.25">
      <c r="A98" s="219">
        <v>95</v>
      </c>
      <c r="B98" s="220"/>
      <c r="C98" s="231"/>
      <c r="D98" s="231"/>
      <c r="E98" s="222"/>
      <c r="F98" s="223">
        <f t="shared" si="9"/>
        <v>0</v>
      </c>
      <c r="G98" s="223"/>
      <c r="H98" s="224"/>
      <c r="I98" s="224"/>
      <c r="J98" s="224"/>
      <c r="K98" s="225"/>
      <c r="L98" s="225"/>
      <c r="M98" s="226"/>
      <c r="N98" s="224"/>
      <c r="O98" s="227"/>
      <c r="P98" s="224"/>
      <c r="Q98" s="224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  <c r="AE98" s="234"/>
      <c r="AF98" s="228">
        <f t="shared" si="5"/>
        <v>0</v>
      </c>
      <c r="AG98" s="228" t="s">
        <v>66</v>
      </c>
      <c r="AH98" s="229" t="str">
        <f t="shared" si="6"/>
        <v/>
      </c>
      <c r="AI98" s="229" t="str">
        <f t="shared" si="7"/>
        <v/>
      </c>
      <c r="AJ98" s="229" t="str">
        <f t="shared" si="8"/>
        <v/>
      </c>
      <c r="AK98" s="229" t="e">
        <f>IF(VLOOKUP($AI:$AI,'Customer Structure'!$G:$I,3,0)="Food Service","F","H")</f>
        <v>#N/A</v>
      </c>
    </row>
    <row r="99" spans="1:37" s="230" customFormat="1" ht="11.25" customHeight="1" x14ac:dyDescent="0.25">
      <c r="A99" s="219">
        <v>96</v>
      </c>
      <c r="B99" s="220"/>
      <c r="C99" s="231"/>
      <c r="D99" s="231"/>
      <c r="E99" s="222"/>
      <c r="F99" s="223">
        <f t="shared" si="9"/>
        <v>0</v>
      </c>
      <c r="G99" s="223"/>
      <c r="H99" s="224"/>
      <c r="I99" s="224"/>
      <c r="J99" s="224"/>
      <c r="K99" s="225"/>
      <c r="L99" s="225"/>
      <c r="M99" s="226"/>
      <c r="N99" s="224"/>
      <c r="O99" s="227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  <c r="AE99" s="234"/>
      <c r="AF99" s="228">
        <f t="shared" si="5"/>
        <v>0</v>
      </c>
      <c r="AG99" s="228" t="s">
        <v>66</v>
      </c>
      <c r="AH99" s="229" t="str">
        <f t="shared" si="6"/>
        <v/>
      </c>
      <c r="AI99" s="229" t="str">
        <f t="shared" si="7"/>
        <v/>
      </c>
      <c r="AJ99" s="229" t="str">
        <f t="shared" si="8"/>
        <v/>
      </c>
      <c r="AK99" s="229" t="e">
        <f>IF(VLOOKUP($AI:$AI,'Customer Structure'!$G:$I,3,0)="Food Service","F","H")</f>
        <v>#N/A</v>
      </c>
    </row>
    <row r="100" spans="1:37" s="230" customFormat="1" ht="11.25" customHeight="1" x14ac:dyDescent="0.25">
      <c r="A100" s="219">
        <v>97</v>
      </c>
      <c r="B100" s="220"/>
      <c r="C100" s="231"/>
      <c r="D100" s="231"/>
      <c r="E100" s="222"/>
      <c r="F100" s="223">
        <f t="shared" si="9"/>
        <v>0</v>
      </c>
      <c r="G100" s="223"/>
      <c r="H100" s="224"/>
      <c r="I100" s="224"/>
      <c r="J100" s="224"/>
      <c r="K100" s="225"/>
      <c r="L100" s="225"/>
      <c r="M100" s="226"/>
      <c r="N100" s="224"/>
      <c r="O100" s="227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  <c r="AD100" s="224"/>
      <c r="AE100" s="234"/>
      <c r="AF100" s="228">
        <f t="shared" si="5"/>
        <v>0</v>
      </c>
      <c r="AG100" s="228" t="s">
        <v>66</v>
      </c>
      <c r="AH100" s="229" t="str">
        <f t="shared" si="6"/>
        <v/>
      </c>
      <c r="AI100" s="229" t="str">
        <f t="shared" si="7"/>
        <v/>
      </c>
      <c r="AJ100" s="229" t="str">
        <f t="shared" si="8"/>
        <v/>
      </c>
      <c r="AK100" s="229" t="e">
        <f>IF(VLOOKUP($AI:$AI,'Customer Structure'!$G:$I,3,0)="Food Service","F","H")</f>
        <v>#N/A</v>
      </c>
    </row>
    <row r="101" spans="1:37" s="230" customFormat="1" ht="11.25" customHeight="1" x14ac:dyDescent="0.25">
      <c r="A101" s="219">
        <v>98</v>
      </c>
      <c r="B101" s="220"/>
      <c r="C101" s="231"/>
      <c r="D101" s="231"/>
      <c r="E101" s="222"/>
      <c r="F101" s="223">
        <f t="shared" si="9"/>
        <v>0</v>
      </c>
      <c r="G101" s="223"/>
      <c r="H101" s="224"/>
      <c r="I101" s="224"/>
      <c r="J101" s="224"/>
      <c r="K101" s="225"/>
      <c r="L101" s="225"/>
      <c r="M101" s="226"/>
      <c r="N101" s="224"/>
      <c r="O101" s="227"/>
      <c r="P101" s="224"/>
      <c r="Q101" s="224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  <c r="AD101" s="224"/>
      <c r="AE101" s="234"/>
      <c r="AF101" s="228">
        <f t="shared" si="5"/>
        <v>0</v>
      </c>
      <c r="AG101" s="228" t="s">
        <v>66</v>
      </c>
      <c r="AH101" s="229" t="str">
        <f t="shared" si="6"/>
        <v/>
      </c>
      <c r="AI101" s="229" t="str">
        <f t="shared" si="7"/>
        <v/>
      </c>
      <c r="AJ101" s="229" t="str">
        <f t="shared" si="8"/>
        <v/>
      </c>
      <c r="AK101" s="229" t="e">
        <f>IF(VLOOKUP($AI:$AI,'Customer Structure'!$G:$I,3,0)="Food Service","F","H")</f>
        <v>#N/A</v>
      </c>
    </row>
    <row r="102" spans="1:37" s="230" customFormat="1" ht="11.25" customHeight="1" x14ac:dyDescent="0.25">
      <c r="A102" s="219">
        <v>99</v>
      </c>
      <c r="B102" s="220"/>
      <c r="C102" s="231"/>
      <c r="D102" s="231"/>
      <c r="E102" s="222"/>
      <c r="F102" s="223">
        <f t="shared" si="9"/>
        <v>0</v>
      </c>
      <c r="G102" s="223"/>
      <c r="H102" s="224"/>
      <c r="I102" s="224"/>
      <c r="J102" s="224"/>
      <c r="K102" s="225"/>
      <c r="L102" s="225"/>
      <c r="M102" s="226"/>
      <c r="N102" s="224"/>
      <c r="O102" s="227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  <c r="AD102" s="224"/>
      <c r="AE102" s="234"/>
      <c r="AF102" s="228">
        <f t="shared" si="5"/>
        <v>0</v>
      </c>
      <c r="AG102" s="228" t="s">
        <v>66</v>
      </c>
      <c r="AH102" s="229" t="str">
        <f t="shared" si="6"/>
        <v/>
      </c>
      <c r="AI102" s="229" t="str">
        <f t="shared" si="7"/>
        <v/>
      </c>
      <c r="AJ102" s="229" t="str">
        <f t="shared" si="8"/>
        <v/>
      </c>
      <c r="AK102" s="229" t="e">
        <f>IF(VLOOKUP($AI:$AI,'Customer Structure'!$G:$I,3,0)="Food Service","F","H")</f>
        <v>#N/A</v>
      </c>
    </row>
    <row r="103" spans="1:37" s="230" customFormat="1" ht="11.25" customHeight="1" x14ac:dyDescent="0.25">
      <c r="A103" s="219">
        <v>100</v>
      </c>
      <c r="B103" s="220"/>
      <c r="C103" s="231"/>
      <c r="D103" s="231"/>
      <c r="E103" s="222"/>
      <c r="F103" s="223">
        <f t="shared" si="9"/>
        <v>0</v>
      </c>
      <c r="G103" s="223"/>
      <c r="H103" s="224"/>
      <c r="I103" s="224"/>
      <c r="J103" s="224"/>
      <c r="K103" s="225"/>
      <c r="L103" s="225"/>
      <c r="M103" s="226"/>
      <c r="N103" s="224"/>
      <c r="O103" s="227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  <c r="AC103" s="224"/>
      <c r="AD103" s="224"/>
      <c r="AE103" s="234"/>
      <c r="AF103" s="228">
        <f t="shared" si="5"/>
        <v>0</v>
      </c>
      <c r="AG103" s="228" t="s">
        <v>66</v>
      </c>
      <c r="AH103" s="229" t="str">
        <f t="shared" si="6"/>
        <v/>
      </c>
      <c r="AI103" s="229" t="str">
        <f t="shared" si="7"/>
        <v/>
      </c>
      <c r="AJ103" s="229" t="str">
        <f t="shared" si="8"/>
        <v/>
      </c>
      <c r="AK103" s="229" t="e">
        <f>IF(VLOOKUP($AI:$AI,'Customer Structure'!$G:$I,3,0)="Food Service","F","H")</f>
        <v>#N/A</v>
      </c>
    </row>
    <row r="112" spans="1:37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</sheetData>
  <mergeCells count="2">
    <mergeCell ref="Y2:Z2"/>
    <mergeCell ref="K1:M1"/>
  </mergeCells>
  <phoneticPr fontId="64" type="noConversion"/>
  <conditionalFormatting sqref="C4:C5 C6:D103">
    <cfRule type="cellIs" dxfId="29" priority="73" operator="lessThan">
      <formula>0</formula>
    </cfRule>
  </conditionalFormatting>
  <conditionalFormatting sqref="E1:E1048576">
    <cfRule type="duplicateValues" dxfId="28" priority="74"/>
  </conditionalFormatting>
  <conditionalFormatting sqref="E3">
    <cfRule type="cellIs" dxfId="27" priority="41" operator="equal">
      <formula>16</formula>
    </cfRule>
  </conditionalFormatting>
  <conditionalFormatting sqref="E3:G103">
    <cfRule type="duplicateValues" dxfId="26" priority="99"/>
  </conditionalFormatting>
  <conditionalFormatting sqref="E4:G103">
    <cfRule type="cellIs" dxfId="25" priority="72" operator="equal">
      <formula>0</formula>
    </cfRule>
  </conditionalFormatting>
  <conditionalFormatting sqref="F1:G1048576">
    <cfRule type="cellIs" dxfId="24" priority="70" operator="equal">
      <formula>16</formula>
    </cfRule>
  </conditionalFormatting>
  <conditionalFormatting sqref="G3">
    <cfRule type="duplicateValues" dxfId="23" priority="65"/>
    <cfRule type="duplicateValues" dxfId="22" priority="66"/>
    <cfRule type="duplicateValues" dxfId="21" priority="67"/>
    <cfRule type="duplicateValues" dxfId="20" priority="68"/>
    <cfRule type="duplicateValues" dxfId="19" priority="69"/>
  </conditionalFormatting>
  <conditionalFormatting sqref="H2">
    <cfRule type="duplicateValues" dxfId="18" priority="30"/>
  </conditionalFormatting>
  <conditionalFormatting sqref="I2">
    <cfRule type="duplicateValues" dxfId="17" priority="29"/>
  </conditionalFormatting>
  <conditionalFormatting sqref="J2">
    <cfRule type="duplicateValues" dxfId="16" priority="28"/>
  </conditionalFormatting>
  <conditionalFormatting sqref="K2">
    <cfRule type="duplicateValues" dxfId="15" priority="27"/>
  </conditionalFormatting>
  <conditionalFormatting sqref="L2">
    <cfRule type="duplicateValues" dxfId="14" priority="26"/>
  </conditionalFormatting>
  <conditionalFormatting sqref="M2">
    <cfRule type="duplicateValues" dxfId="13" priority="25"/>
  </conditionalFormatting>
  <conditionalFormatting sqref="AE1:AG1 AE2:AF2 AE3:AE103 AE104:AG1048576">
    <cfRule type="cellIs" dxfId="12" priority="71" operator="equal">
      <formula>"รอเข้าระบบ"</formula>
    </cfRule>
  </conditionalFormatting>
  <dataValidations count="4">
    <dataValidation type="list" allowBlank="1" showInputMessage="1" showErrorMessage="1" sqref="R97:R103 R4:R89" xr:uid="{00000000-0002-0000-0200-000000000000}">
      <formula1>"เก่า,ใหม่"</formula1>
    </dataValidation>
    <dataValidation type="textLength" operator="equal" allowBlank="1" showInputMessage="1" showErrorMessage="1" error="ใส่หมายเลข BIGC BIGCARD 16 หลัก" sqref="E4:E1048576" xr:uid="{4625F3C0-0894-4288-A06D-B87F97CB7A6F}">
      <formula1>16</formula1>
    </dataValidation>
    <dataValidation type="textLength" operator="equal" allowBlank="1" showInputMessage="1" showErrorMessage="1" sqref="G4:G1048576" xr:uid="{D5FE2D0C-95FC-4D55-BAB7-FF9612DBD1B1}">
      <formula1>13</formula1>
    </dataValidation>
    <dataValidation type="textLength" operator="equal" allowBlank="1" showInputMessage="1" showErrorMessage="1" sqref="J4:J1048576" xr:uid="{4E0E090A-4BAE-45D0-8B23-50D5780EB62C}">
      <formula1>10</formula1>
    </dataValidation>
  </dataValidations>
  <pageMargins left="0.7" right="0.7" top="0.75" bottom="0.75" header="0.3" footer="0.3"/>
  <pageSetup paperSize="9" orientation="landscape" r:id="rId1"/>
  <colBreaks count="2" manualBreakCount="2">
    <brk id="8" max="27" man="1"/>
    <brk id="31" max="27" man="1"/>
  </col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1E777E-1594-440E-A983-6FBD8BA894D5}">
          <x14:formula1>
            <xm:f>Index!$B$3:$B$9</xm:f>
          </x14:formula1>
          <xm:sqref>K5:K103 K4</xm:sqref>
        </x14:dataValidation>
        <x14:dataValidation type="list" allowBlank="1" showInputMessage="1" showErrorMessage="1" xr:uid="{4F87EB65-2591-45FA-B51D-6E7F9E8B3091}">
          <x14:formula1>
            <xm:f>Index!$C$3:$C$21</xm:f>
          </x14:formula1>
          <xm:sqref>L5:L103</xm:sqref>
        </x14:dataValidation>
        <x14:dataValidation type="list" allowBlank="1" showInputMessage="1" showErrorMessage="1" xr:uid="{59FAE43A-2E55-451E-9577-0D1935E90D55}">
          <x14:formula1>
            <xm:f>Index!$D$3:$D$89</xm:f>
          </x14:formula1>
          <xm:sqref>M5:M103</xm:sqref>
        </x14:dataValidation>
        <x14:dataValidation type="list" allowBlank="1" showInputMessage="1" showErrorMessage="1" xr:uid="{FCAB1CE2-3E8D-4E96-9D2A-EE53525E7D45}">
          <x14:formula1>
            <xm:f>Index!$C$3:$C$28</xm:f>
          </x14:formula1>
          <xm:sqref>L4</xm:sqref>
        </x14:dataValidation>
        <x14:dataValidation type="list" allowBlank="1" showInputMessage="1" showErrorMessage="1" xr:uid="{5030FB52-F1A5-400F-B6F9-BBB9875D8A8B}">
          <x14:formula1>
            <xm:f>Index!$D$3:$D$118</xm:f>
          </x14:formula1>
          <xm:sqref>M4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10F9-0D17-426B-B734-BDAB252035F4}">
  <sheetPr>
    <tabColor rgb="FFFFC000"/>
  </sheetPr>
  <dimension ref="B2:J118"/>
  <sheetViews>
    <sheetView zoomScale="80" zoomScaleNormal="80" workbookViewId="0">
      <selection activeCell="N8" sqref="N8"/>
    </sheetView>
  </sheetViews>
  <sheetFormatPr defaultColWidth="9.19921875" defaultRowHeight="13.2" x14ac:dyDescent="0.25"/>
  <cols>
    <col min="1" max="1" width="9.19921875" style="235"/>
    <col min="2" max="2" width="13.69921875" style="244" bestFit="1" customWidth="1"/>
    <col min="3" max="3" width="15" style="244" bestFit="1" customWidth="1"/>
    <col min="4" max="4" width="16.59765625" style="244" bestFit="1" customWidth="1"/>
    <col min="5" max="5" width="56.3984375" style="244" customWidth="1"/>
    <col min="6" max="8" width="5.69921875" style="244" customWidth="1"/>
    <col min="9" max="9" width="11.69921875" style="244" customWidth="1"/>
    <col min="10" max="10" width="9.19921875" style="244"/>
    <col min="11" max="16384" width="9.19921875" style="235"/>
  </cols>
  <sheetData>
    <row r="2" spans="2:10" x14ac:dyDescent="0.25">
      <c r="B2" s="242" t="s">
        <v>97</v>
      </c>
      <c r="C2" s="242" t="s">
        <v>46</v>
      </c>
      <c r="D2" s="242" t="s">
        <v>47</v>
      </c>
      <c r="E2" s="242" t="s">
        <v>48</v>
      </c>
      <c r="F2" s="243" t="s">
        <v>67</v>
      </c>
      <c r="G2" s="243" t="s">
        <v>68</v>
      </c>
      <c r="H2" s="243" t="s">
        <v>69</v>
      </c>
      <c r="I2" s="242" t="s">
        <v>98</v>
      </c>
      <c r="J2" s="242" t="s">
        <v>99</v>
      </c>
    </row>
    <row r="3" spans="2:10" ht="12" customHeight="1" x14ac:dyDescent="0.25">
      <c r="B3" s="244" t="s">
        <v>100</v>
      </c>
      <c r="C3" s="244" t="s">
        <v>101</v>
      </c>
      <c r="D3" s="244" t="s">
        <v>102</v>
      </c>
      <c r="E3" s="244" t="s">
        <v>103</v>
      </c>
      <c r="F3" s="244" t="s">
        <v>104</v>
      </c>
      <c r="G3" s="244" t="s">
        <v>105</v>
      </c>
      <c r="H3" s="244" t="s">
        <v>106</v>
      </c>
      <c r="I3" s="244" t="s">
        <v>107</v>
      </c>
      <c r="J3" s="244" t="s">
        <v>108</v>
      </c>
    </row>
    <row r="4" spans="2:10" ht="12" customHeight="1" x14ac:dyDescent="0.25">
      <c r="B4" s="244" t="s">
        <v>100</v>
      </c>
      <c r="C4" s="244" t="s">
        <v>101</v>
      </c>
      <c r="D4" s="244" t="s">
        <v>102</v>
      </c>
      <c r="E4" s="244" t="s">
        <v>109</v>
      </c>
      <c r="F4" s="244" t="s">
        <v>104</v>
      </c>
      <c r="G4" s="244" t="s">
        <v>105</v>
      </c>
      <c r="H4" s="244" t="s">
        <v>110</v>
      </c>
      <c r="I4" s="244" t="s">
        <v>107</v>
      </c>
      <c r="J4" s="244" t="s">
        <v>108</v>
      </c>
    </row>
    <row r="5" spans="2:10" ht="12" customHeight="1" x14ac:dyDescent="0.25">
      <c r="B5" s="244" t="s">
        <v>100</v>
      </c>
      <c r="C5" s="244" t="s">
        <v>101</v>
      </c>
      <c r="D5" s="244" t="s">
        <v>102</v>
      </c>
      <c r="E5" s="244" t="s">
        <v>111</v>
      </c>
      <c r="F5" s="244" t="s">
        <v>104</v>
      </c>
      <c r="G5" s="244" t="s">
        <v>105</v>
      </c>
      <c r="H5" s="244" t="s">
        <v>112</v>
      </c>
      <c r="I5" s="244" t="s">
        <v>107</v>
      </c>
      <c r="J5" s="244" t="s">
        <v>108</v>
      </c>
    </row>
    <row r="6" spans="2:10" ht="12" customHeight="1" x14ac:dyDescent="0.25">
      <c r="B6" s="244" t="s">
        <v>100</v>
      </c>
      <c r="C6" s="244" t="s">
        <v>101</v>
      </c>
      <c r="D6" s="244" t="s">
        <v>113</v>
      </c>
      <c r="E6" s="244" t="s">
        <v>114</v>
      </c>
      <c r="F6" s="244" t="s">
        <v>104</v>
      </c>
      <c r="G6" s="244" t="s">
        <v>115</v>
      </c>
      <c r="H6" s="244" t="s">
        <v>116</v>
      </c>
      <c r="I6" s="244" t="s">
        <v>107</v>
      </c>
      <c r="J6" s="244" t="s">
        <v>108</v>
      </c>
    </row>
    <row r="7" spans="2:10" ht="12" customHeight="1" x14ac:dyDescent="0.25">
      <c r="B7" s="244" t="s">
        <v>100</v>
      </c>
      <c r="C7" s="244" t="s">
        <v>101</v>
      </c>
      <c r="D7" s="244" t="s">
        <v>113</v>
      </c>
      <c r="E7" s="244" t="s">
        <v>117</v>
      </c>
      <c r="F7" s="244" t="s">
        <v>104</v>
      </c>
      <c r="G7" s="244" t="s">
        <v>115</v>
      </c>
      <c r="H7" s="244" t="s">
        <v>118</v>
      </c>
      <c r="I7" s="244" t="s">
        <v>107</v>
      </c>
      <c r="J7" s="244" t="s">
        <v>108</v>
      </c>
    </row>
    <row r="8" spans="2:10" ht="12" customHeight="1" x14ac:dyDescent="0.25">
      <c r="B8" s="244" t="s">
        <v>100</v>
      </c>
      <c r="C8" s="244" t="s">
        <v>101</v>
      </c>
      <c r="D8" s="244" t="s">
        <v>113</v>
      </c>
      <c r="E8" s="244" t="s">
        <v>119</v>
      </c>
      <c r="F8" s="244" t="s">
        <v>104</v>
      </c>
      <c r="G8" s="244" t="s">
        <v>115</v>
      </c>
      <c r="H8" s="244" t="s">
        <v>120</v>
      </c>
      <c r="I8" s="244" t="s">
        <v>107</v>
      </c>
      <c r="J8" s="244" t="s">
        <v>108</v>
      </c>
    </row>
    <row r="9" spans="2:10" ht="12" customHeight="1" x14ac:dyDescent="0.25">
      <c r="B9" s="244" t="s">
        <v>100</v>
      </c>
      <c r="C9" s="244" t="s">
        <v>101</v>
      </c>
      <c r="D9" s="244" t="s">
        <v>113</v>
      </c>
      <c r="E9" s="244" t="s">
        <v>121</v>
      </c>
      <c r="F9" s="244" t="s">
        <v>104</v>
      </c>
      <c r="G9" s="244" t="s">
        <v>115</v>
      </c>
      <c r="H9" s="244" t="s">
        <v>122</v>
      </c>
      <c r="I9" s="244" t="s">
        <v>107</v>
      </c>
      <c r="J9" s="244" t="s">
        <v>108</v>
      </c>
    </row>
    <row r="10" spans="2:10" ht="12" customHeight="1" x14ac:dyDescent="0.25">
      <c r="B10" s="244" t="s">
        <v>100</v>
      </c>
      <c r="C10" s="244" t="s">
        <v>101</v>
      </c>
      <c r="D10" s="244" t="s">
        <v>113</v>
      </c>
      <c r="E10" s="244" t="s">
        <v>123</v>
      </c>
      <c r="F10" s="244" t="s">
        <v>104</v>
      </c>
      <c r="G10" s="244" t="s">
        <v>115</v>
      </c>
      <c r="H10" s="244" t="s">
        <v>124</v>
      </c>
      <c r="I10" s="244" t="s">
        <v>107</v>
      </c>
      <c r="J10" s="244" t="s">
        <v>108</v>
      </c>
    </row>
    <row r="11" spans="2:10" ht="12" customHeight="1" x14ac:dyDescent="0.25">
      <c r="B11" s="244" t="s">
        <v>100</v>
      </c>
      <c r="C11" s="244" t="s">
        <v>101</v>
      </c>
      <c r="D11" s="244" t="s">
        <v>113</v>
      </c>
      <c r="E11" s="244" t="s">
        <v>125</v>
      </c>
      <c r="F11" s="244" t="s">
        <v>104</v>
      </c>
      <c r="G11" s="244" t="s">
        <v>115</v>
      </c>
      <c r="H11" s="244" t="s">
        <v>126</v>
      </c>
      <c r="I11" s="244" t="s">
        <v>107</v>
      </c>
      <c r="J11" s="244" t="s">
        <v>108</v>
      </c>
    </row>
    <row r="12" spans="2:10" ht="12" customHeight="1" x14ac:dyDescent="0.25">
      <c r="B12" s="244" t="s">
        <v>100</v>
      </c>
      <c r="C12" s="244" t="s">
        <v>101</v>
      </c>
      <c r="D12" s="244" t="s">
        <v>113</v>
      </c>
      <c r="E12" s="244" t="s">
        <v>127</v>
      </c>
      <c r="F12" s="244" t="s">
        <v>104</v>
      </c>
      <c r="G12" s="244" t="s">
        <v>115</v>
      </c>
      <c r="H12" s="244" t="s">
        <v>128</v>
      </c>
      <c r="I12" s="244" t="s">
        <v>107</v>
      </c>
      <c r="J12" s="244" t="s">
        <v>108</v>
      </c>
    </row>
    <row r="13" spans="2:10" ht="12" customHeight="1" x14ac:dyDescent="0.25">
      <c r="B13" s="244" t="s">
        <v>100</v>
      </c>
      <c r="C13" s="244" t="s">
        <v>101</v>
      </c>
      <c r="D13" s="244" t="s">
        <v>129</v>
      </c>
      <c r="E13" s="244" t="s">
        <v>130</v>
      </c>
      <c r="F13" s="244" t="s">
        <v>104</v>
      </c>
      <c r="G13" s="244" t="s">
        <v>131</v>
      </c>
      <c r="H13" s="244" t="s">
        <v>132</v>
      </c>
      <c r="I13" s="244" t="s">
        <v>107</v>
      </c>
      <c r="J13" s="244" t="s">
        <v>108</v>
      </c>
    </row>
    <row r="14" spans="2:10" ht="12" customHeight="1" x14ac:dyDescent="0.25">
      <c r="B14" s="244" t="s">
        <v>100</v>
      </c>
      <c r="C14" s="244" t="s">
        <v>133</v>
      </c>
      <c r="D14" s="244" t="s">
        <v>134</v>
      </c>
      <c r="E14" s="244" t="s">
        <v>135</v>
      </c>
      <c r="F14" s="244" t="s">
        <v>136</v>
      </c>
      <c r="G14" s="244" t="s">
        <v>137</v>
      </c>
      <c r="H14" s="244" t="s">
        <v>138</v>
      </c>
      <c r="I14" s="244" t="s">
        <v>107</v>
      </c>
      <c r="J14" s="244" t="s">
        <v>108</v>
      </c>
    </row>
    <row r="15" spans="2:10" ht="12" customHeight="1" x14ac:dyDescent="0.25">
      <c r="B15" s="244" t="s">
        <v>100</v>
      </c>
      <c r="C15" s="244" t="s">
        <v>133</v>
      </c>
      <c r="D15" s="244" t="s">
        <v>134</v>
      </c>
      <c r="E15" s="244" t="s">
        <v>139</v>
      </c>
      <c r="F15" s="244" t="s">
        <v>136</v>
      </c>
      <c r="G15" s="244" t="s">
        <v>137</v>
      </c>
      <c r="H15" s="244" t="s">
        <v>140</v>
      </c>
      <c r="I15" s="244" t="s">
        <v>107</v>
      </c>
      <c r="J15" s="244" t="s">
        <v>108</v>
      </c>
    </row>
    <row r="16" spans="2:10" ht="12" customHeight="1" x14ac:dyDescent="0.25">
      <c r="B16" s="244" t="s">
        <v>100</v>
      </c>
      <c r="C16" s="244" t="s">
        <v>133</v>
      </c>
      <c r="D16" s="244" t="s">
        <v>134</v>
      </c>
      <c r="E16" s="244" t="s">
        <v>141</v>
      </c>
      <c r="F16" s="244" t="s">
        <v>136</v>
      </c>
      <c r="G16" s="244" t="s">
        <v>137</v>
      </c>
      <c r="H16" s="244" t="s">
        <v>142</v>
      </c>
      <c r="I16" s="244" t="s">
        <v>107</v>
      </c>
      <c r="J16" s="244" t="s">
        <v>108</v>
      </c>
    </row>
    <row r="17" spans="2:10" ht="12" customHeight="1" x14ac:dyDescent="0.25">
      <c r="B17" s="244" t="s">
        <v>100</v>
      </c>
      <c r="C17" s="244" t="s">
        <v>133</v>
      </c>
      <c r="D17" s="244" t="s">
        <v>134</v>
      </c>
      <c r="E17" s="244" t="s">
        <v>143</v>
      </c>
      <c r="F17" s="244" t="s">
        <v>136</v>
      </c>
      <c r="G17" s="244" t="s">
        <v>137</v>
      </c>
      <c r="H17" s="244" t="s">
        <v>144</v>
      </c>
      <c r="I17" s="244" t="s">
        <v>107</v>
      </c>
      <c r="J17" s="244" t="s">
        <v>108</v>
      </c>
    </row>
    <row r="18" spans="2:10" ht="12" customHeight="1" x14ac:dyDescent="0.25">
      <c r="B18" s="244" t="s">
        <v>100</v>
      </c>
      <c r="C18" s="244" t="s">
        <v>133</v>
      </c>
      <c r="D18" s="244" t="s">
        <v>134</v>
      </c>
      <c r="E18" s="244" t="s">
        <v>145</v>
      </c>
      <c r="F18" s="244" t="s">
        <v>136</v>
      </c>
      <c r="G18" s="244" t="s">
        <v>137</v>
      </c>
      <c r="H18" s="244" t="s">
        <v>146</v>
      </c>
      <c r="I18" s="244" t="s">
        <v>107</v>
      </c>
      <c r="J18" s="244" t="s">
        <v>108</v>
      </c>
    </row>
    <row r="19" spans="2:10" ht="12" customHeight="1" x14ac:dyDescent="0.25">
      <c r="B19" s="244" t="s">
        <v>100</v>
      </c>
      <c r="C19" s="244" t="s">
        <v>133</v>
      </c>
      <c r="D19" s="244" t="s">
        <v>134</v>
      </c>
      <c r="E19" s="244" t="s">
        <v>147</v>
      </c>
      <c r="F19" s="244" t="s">
        <v>136</v>
      </c>
      <c r="G19" s="244" t="s">
        <v>137</v>
      </c>
      <c r="H19" s="244" t="s">
        <v>148</v>
      </c>
      <c r="I19" s="244" t="s">
        <v>107</v>
      </c>
      <c r="J19" s="244" t="s">
        <v>108</v>
      </c>
    </row>
    <row r="20" spans="2:10" ht="12" customHeight="1" x14ac:dyDescent="0.25">
      <c r="B20" s="244" t="s">
        <v>100</v>
      </c>
      <c r="C20" s="244" t="s">
        <v>133</v>
      </c>
      <c r="D20" s="244" t="s">
        <v>149</v>
      </c>
      <c r="E20" s="244" t="s">
        <v>150</v>
      </c>
      <c r="F20" s="244" t="s">
        <v>136</v>
      </c>
      <c r="G20" s="244" t="s">
        <v>151</v>
      </c>
      <c r="H20" s="244" t="s">
        <v>152</v>
      </c>
      <c r="I20" s="244" t="s">
        <v>107</v>
      </c>
      <c r="J20" s="244" t="s">
        <v>108</v>
      </c>
    </row>
    <row r="21" spans="2:10" ht="12" customHeight="1" x14ac:dyDescent="0.25">
      <c r="B21" s="244" t="s">
        <v>100</v>
      </c>
      <c r="C21" s="244" t="s">
        <v>133</v>
      </c>
      <c r="D21" s="244" t="s">
        <v>149</v>
      </c>
      <c r="E21" s="244" t="s">
        <v>153</v>
      </c>
      <c r="F21" s="244" t="s">
        <v>136</v>
      </c>
      <c r="G21" s="244" t="s">
        <v>151</v>
      </c>
      <c r="H21" s="244" t="s">
        <v>154</v>
      </c>
      <c r="I21" s="244" t="s">
        <v>107</v>
      </c>
      <c r="J21" s="244" t="s">
        <v>108</v>
      </c>
    </row>
    <row r="22" spans="2:10" ht="12" customHeight="1" x14ac:dyDescent="0.25">
      <c r="B22" s="244" t="s">
        <v>100</v>
      </c>
      <c r="C22" s="244" t="s">
        <v>133</v>
      </c>
      <c r="D22" s="244" t="s">
        <v>149</v>
      </c>
      <c r="E22" s="244" t="s">
        <v>155</v>
      </c>
      <c r="F22" s="244" t="s">
        <v>136</v>
      </c>
      <c r="G22" s="244" t="s">
        <v>151</v>
      </c>
      <c r="H22" s="244" t="s">
        <v>156</v>
      </c>
      <c r="I22" s="244" t="s">
        <v>107</v>
      </c>
      <c r="J22" s="244" t="s">
        <v>108</v>
      </c>
    </row>
    <row r="23" spans="2:10" ht="12" customHeight="1" x14ac:dyDescent="0.25">
      <c r="B23" s="244" t="s">
        <v>100</v>
      </c>
      <c r="C23" s="244" t="s">
        <v>133</v>
      </c>
      <c r="D23" s="244" t="s">
        <v>149</v>
      </c>
      <c r="E23" s="244" t="s">
        <v>157</v>
      </c>
      <c r="F23" s="244" t="s">
        <v>136</v>
      </c>
      <c r="G23" s="244" t="s">
        <v>151</v>
      </c>
      <c r="H23" s="244" t="s">
        <v>158</v>
      </c>
      <c r="I23" s="244" t="s">
        <v>107</v>
      </c>
      <c r="J23" s="244" t="s">
        <v>108</v>
      </c>
    </row>
    <row r="24" spans="2:10" ht="12" customHeight="1" x14ac:dyDescent="0.25">
      <c r="B24" s="244" t="s">
        <v>100</v>
      </c>
      <c r="C24" s="244" t="s">
        <v>133</v>
      </c>
      <c r="D24" s="244" t="s">
        <v>149</v>
      </c>
      <c r="E24" s="244" t="s">
        <v>159</v>
      </c>
      <c r="F24" s="244" t="s">
        <v>136</v>
      </c>
      <c r="G24" s="244" t="s">
        <v>151</v>
      </c>
      <c r="H24" s="244" t="s">
        <v>160</v>
      </c>
      <c r="I24" s="244" t="s">
        <v>107</v>
      </c>
      <c r="J24" s="244" t="s">
        <v>108</v>
      </c>
    </row>
    <row r="25" spans="2:10" ht="12" customHeight="1" x14ac:dyDescent="0.25">
      <c r="B25" s="244" t="s">
        <v>100</v>
      </c>
      <c r="C25" s="244" t="s">
        <v>133</v>
      </c>
      <c r="D25" s="244" t="s">
        <v>149</v>
      </c>
      <c r="E25" s="244" t="s">
        <v>161</v>
      </c>
      <c r="F25" s="244" t="s">
        <v>136</v>
      </c>
      <c r="G25" s="244" t="s">
        <v>151</v>
      </c>
      <c r="H25" s="244" t="s">
        <v>162</v>
      </c>
      <c r="I25" s="244" t="s">
        <v>107</v>
      </c>
      <c r="J25" s="244" t="s">
        <v>108</v>
      </c>
    </row>
    <row r="26" spans="2:10" ht="12" customHeight="1" x14ac:dyDescent="0.25">
      <c r="B26" s="244" t="s">
        <v>100</v>
      </c>
      <c r="C26" s="244" t="s">
        <v>133</v>
      </c>
      <c r="D26" s="244" t="s">
        <v>149</v>
      </c>
      <c r="E26" s="244" t="s">
        <v>163</v>
      </c>
      <c r="F26" s="244" t="s">
        <v>136</v>
      </c>
      <c r="G26" s="244" t="s">
        <v>151</v>
      </c>
      <c r="H26" s="244" t="s">
        <v>164</v>
      </c>
      <c r="I26" s="244" t="s">
        <v>107</v>
      </c>
      <c r="J26" s="244" t="s">
        <v>108</v>
      </c>
    </row>
    <row r="27" spans="2:10" ht="12" customHeight="1" x14ac:dyDescent="0.25">
      <c r="B27" s="244" t="s">
        <v>100</v>
      </c>
      <c r="C27" s="244" t="s">
        <v>133</v>
      </c>
      <c r="D27" s="244" t="s">
        <v>149</v>
      </c>
      <c r="E27" s="244" t="s">
        <v>165</v>
      </c>
      <c r="F27" s="244" t="s">
        <v>136</v>
      </c>
      <c r="G27" s="244" t="s">
        <v>151</v>
      </c>
      <c r="H27" s="244" t="s">
        <v>166</v>
      </c>
      <c r="I27" s="244" t="s">
        <v>107</v>
      </c>
      <c r="J27" s="244" t="s">
        <v>108</v>
      </c>
    </row>
    <row r="28" spans="2:10" ht="12" customHeight="1" x14ac:dyDescent="0.25">
      <c r="B28" s="244" t="s">
        <v>100</v>
      </c>
      <c r="C28" s="244" t="s">
        <v>133</v>
      </c>
      <c r="D28" s="244" t="s">
        <v>149</v>
      </c>
      <c r="E28" s="244" t="s">
        <v>167</v>
      </c>
      <c r="F28" s="244" t="s">
        <v>136</v>
      </c>
      <c r="G28" s="244" t="s">
        <v>151</v>
      </c>
      <c r="H28" s="244" t="s">
        <v>168</v>
      </c>
      <c r="I28" s="244" t="s">
        <v>107</v>
      </c>
      <c r="J28" s="244" t="s">
        <v>108</v>
      </c>
    </row>
    <row r="29" spans="2:10" ht="12" customHeight="1" x14ac:dyDescent="0.25">
      <c r="B29" s="244" t="s">
        <v>100</v>
      </c>
      <c r="C29" s="244" t="s">
        <v>169</v>
      </c>
      <c r="D29" s="244" t="s">
        <v>170</v>
      </c>
      <c r="E29" s="244" t="s">
        <v>171</v>
      </c>
      <c r="F29" s="244" t="s">
        <v>172</v>
      </c>
      <c r="G29" s="244" t="s">
        <v>173</v>
      </c>
      <c r="H29" s="244" t="s">
        <v>174</v>
      </c>
      <c r="I29" s="244" t="s">
        <v>175</v>
      </c>
      <c r="J29" s="244" t="s">
        <v>108</v>
      </c>
    </row>
    <row r="30" spans="2:10" ht="12" customHeight="1" x14ac:dyDescent="0.25">
      <c r="B30" s="244" t="s">
        <v>100</v>
      </c>
      <c r="C30" s="244" t="s">
        <v>169</v>
      </c>
      <c r="D30" s="244" t="s">
        <v>170</v>
      </c>
      <c r="E30" s="244" t="s">
        <v>176</v>
      </c>
      <c r="F30" s="244" t="s">
        <v>172</v>
      </c>
      <c r="G30" s="244" t="s">
        <v>173</v>
      </c>
      <c r="H30" s="244" t="s">
        <v>177</v>
      </c>
      <c r="I30" s="244" t="s">
        <v>175</v>
      </c>
      <c r="J30" s="244" t="s">
        <v>108</v>
      </c>
    </row>
    <row r="31" spans="2:10" ht="12" customHeight="1" x14ac:dyDescent="0.25">
      <c r="B31" s="244" t="s">
        <v>100</v>
      </c>
      <c r="C31" s="244" t="s">
        <v>169</v>
      </c>
      <c r="D31" s="244" t="s">
        <v>170</v>
      </c>
      <c r="E31" s="244" t="s">
        <v>178</v>
      </c>
      <c r="F31" s="244" t="s">
        <v>172</v>
      </c>
      <c r="G31" s="244" t="s">
        <v>173</v>
      </c>
      <c r="H31" s="244" t="s">
        <v>179</v>
      </c>
      <c r="I31" s="244" t="s">
        <v>175</v>
      </c>
      <c r="J31" s="244" t="s">
        <v>108</v>
      </c>
    </row>
    <row r="32" spans="2:10" ht="12" customHeight="1" x14ac:dyDescent="0.25">
      <c r="B32" s="244" t="s">
        <v>100</v>
      </c>
      <c r="C32" s="244" t="s">
        <v>169</v>
      </c>
      <c r="D32" s="244" t="s">
        <v>170</v>
      </c>
      <c r="E32" s="244" t="s">
        <v>180</v>
      </c>
      <c r="F32" s="244" t="s">
        <v>172</v>
      </c>
      <c r="G32" s="244" t="s">
        <v>173</v>
      </c>
      <c r="H32" s="244" t="s">
        <v>181</v>
      </c>
      <c r="I32" s="244" t="s">
        <v>175</v>
      </c>
      <c r="J32" s="244" t="s">
        <v>108</v>
      </c>
    </row>
    <row r="33" spans="2:10" ht="12" customHeight="1" x14ac:dyDescent="0.25">
      <c r="B33" s="244" t="s">
        <v>100</v>
      </c>
      <c r="C33" s="244" t="s">
        <v>169</v>
      </c>
      <c r="D33" s="244" t="s">
        <v>182</v>
      </c>
      <c r="E33" s="244" t="s">
        <v>183</v>
      </c>
      <c r="F33" s="244" t="s">
        <v>172</v>
      </c>
      <c r="G33" s="244" t="s">
        <v>184</v>
      </c>
      <c r="H33" s="244" t="s">
        <v>185</v>
      </c>
      <c r="I33" s="244" t="s">
        <v>175</v>
      </c>
      <c r="J33" s="244" t="s">
        <v>108</v>
      </c>
    </row>
    <row r="34" spans="2:10" ht="12" customHeight="1" x14ac:dyDescent="0.25">
      <c r="B34" s="244" t="s">
        <v>100</v>
      </c>
      <c r="C34" s="244" t="s">
        <v>169</v>
      </c>
      <c r="D34" s="244" t="s">
        <v>182</v>
      </c>
      <c r="E34" s="244" t="s">
        <v>186</v>
      </c>
      <c r="F34" s="244" t="s">
        <v>172</v>
      </c>
      <c r="G34" s="244" t="s">
        <v>184</v>
      </c>
      <c r="H34" s="244" t="s">
        <v>187</v>
      </c>
      <c r="I34" s="244" t="s">
        <v>175</v>
      </c>
      <c r="J34" s="244" t="s">
        <v>108</v>
      </c>
    </row>
    <row r="35" spans="2:10" ht="12" customHeight="1" x14ac:dyDescent="0.25">
      <c r="B35" s="244" t="s">
        <v>100</v>
      </c>
      <c r="C35" s="244" t="s">
        <v>169</v>
      </c>
      <c r="D35" s="244" t="s">
        <v>182</v>
      </c>
      <c r="E35" s="244" t="s">
        <v>188</v>
      </c>
      <c r="F35" s="244" t="s">
        <v>172</v>
      </c>
      <c r="G35" s="244" t="s">
        <v>184</v>
      </c>
      <c r="H35" s="244" t="s">
        <v>189</v>
      </c>
      <c r="I35" s="244" t="s">
        <v>175</v>
      </c>
      <c r="J35" s="244" t="s">
        <v>108</v>
      </c>
    </row>
    <row r="36" spans="2:10" ht="12" customHeight="1" x14ac:dyDescent="0.25">
      <c r="B36" s="244" t="s">
        <v>100</v>
      </c>
      <c r="C36" s="244" t="s">
        <v>169</v>
      </c>
      <c r="D36" s="244" t="s">
        <v>182</v>
      </c>
      <c r="E36" s="244" t="s">
        <v>190</v>
      </c>
      <c r="F36" s="244" t="s">
        <v>172</v>
      </c>
      <c r="G36" s="244" t="s">
        <v>184</v>
      </c>
      <c r="H36" s="244" t="s">
        <v>191</v>
      </c>
      <c r="I36" s="244" t="s">
        <v>175</v>
      </c>
      <c r="J36" s="244" t="s">
        <v>108</v>
      </c>
    </row>
    <row r="37" spans="2:10" ht="12" customHeight="1" x14ac:dyDescent="0.25">
      <c r="B37" s="244" t="s">
        <v>100</v>
      </c>
      <c r="C37" s="244" t="s">
        <v>169</v>
      </c>
      <c r="D37" s="244" t="s">
        <v>182</v>
      </c>
      <c r="E37" s="244" t="s">
        <v>192</v>
      </c>
      <c r="F37" s="244" t="s">
        <v>172</v>
      </c>
      <c r="G37" s="244" t="s">
        <v>184</v>
      </c>
      <c r="H37" s="244" t="s">
        <v>193</v>
      </c>
      <c r="I37" s="244" t="s">
        <v>175</v>
      </c>
      <c r="J37" s="244" t="s">
        <v>108</v>
      </c>
    </row>
    <row r="38" spans="2:10" ht="12" customHeight="1" x14ac:dyDescent="0.25">
      <c r="B38" s="244" t="s">
        <v>100</v>
      </c>
      <c r="C38" s="244" t="s">
        <v>169</v>
      </c>
      <c r="D38" s="244" t="s">
        <v>182</v>
      </c>
      <c r="E38" s="244" t="s">
        <v>194</v>
      </c>
      <c r="F38" s="244" t="s">
        <v>172</v>
      </c>
      <c r="G38" s="244" t="s">
        <v>184</v>
      </c>
      <c r="H38" s="244" t="s">
        <v>195</v>
      </c>
      <c r="I38" s="244" t="s">
        <v>175</v>
      </c>
      <c r="J38" s="244" t="s">
        <v>108</v>
      </c>
    </row>
    <row r="39" spans="2:10" ht="12" customHeight="1" x14ac:dyDescent="0.25">
      <c r="B39" s="244" t="s">
        <v>100</v>
      </c>
      <c r="C39" s="244" t="s">
        <v>169</v>
      </c>
      <c r="D39" s="244" t="s">
        <v>182</v>
      </c>
      <c r="E39" s="244" t="s">
        <v>196</v>
      </c>
      <c r="F39" s="244" t="s">
        <v>172</v>
      </c>
      <c r="G39" s="244" t="s">
        <v>184</v>
      </c>
      <c r="H39" s="244" t="s">
        <v>197</v>
      </c>
      <c r="I39" s="244" t="s">
        <v>175</v>
      </c>
      <c r="J39" s="244" t="s">
        <v>108</v>
      </c>
    </row>
    <row r="40" spans="2:10" ht="12" customHeight="1" x14ac:dyDescent="0.25">
      <c r="B40" s="244" t="s">
        <v>100</v>
      </c>
      <c r="C40" s="244" t="s">
        <v>169</v>
      </c>
      <c r="D40" s="244" t="s">
        <v>182</v>
      </c>
      <c r="E40" s="244" t="s">
        <v>198</v>
      </c>
      <c r="F40" s="244" t="s">
        <v>172</v>
      </c>
      <c r="G40" s="244" t="s">
        <v>184</v>
      </c>
      <c r="H40" s="244" t="s">
        <v>199</v>
      </c>
      <c r="I40" s="244" t="s">
        <v>175</v>
      </c>
      <c r="J40" s="244" t="s">
        <v>108</v>
      </c>
    </row>
    <row r="41" spans="2:10" ht="12" customHeight="1" x14ac:dyDescent="0.25">
      <c r="B41" s="244" t="s">
        <v>100</v>
      </c>
      <c r="C41" s="244" t="s">
        <v>169</v>
      </c>
      <c r="D41" s="244" t="s">
        <v>182</v>
      </c>
      <c r="E41" s="244" t="s">
        <v>200</v>
      </c>
      <c r="F41" s="244" t="s">
        <v>172</v>
      </c>
      <c r="G41" s="244" t="s">
        <v>184</v>
      </c>
      <c r="H41" s="244" t="s">
        <v>201</v>
      </c>
      <c r="I41" s="244" t="s">
        <v>175</v>
      </c>
      <c r="J41" s="244" t="s">
        <v>108</v>
      </c>
    </row>
    <row r="42" spans="2:10" ht="12" customHeight="1" x14ac:dyDescent="0.25">
      <c r="B42" s="244" t="s">
        <v>100</v>
      </c>
      <c r="C42" s="244" t="s">
        <v>169</v>
      </c>
      <c r="D42" s="244" t="s">
        <v>182</v>
      </c>
      <c r="E42" s="244" t="s">
        <v>202</v>
      </c>
      <c r="F42" s="244" t="s">
        <v>172</v>
      </c>
      <c r="G42" s="244" t="s">
        <v>184</v>
      </c>
      <c r="H42" s="244" t="s">
        <v>203</v>
      </c>
      <c r="I42" s="244" t="s">
        <v>175</v>
      </c>
      <c r="J42" s="244" t="s">
        <v>108</v>
      </c>
    </row>
    <row r="43" spans="2:10" ht="12" customHeight="1" x14ac:dyDescent="0.25">
      <c r="B43" s="244" t="s">
        <v>100</v>
      </c>
      <c r="C43" s="244" t="s">
        <v>169</v>
      </c>
      <c r="D43" s="244" t="s">
        <v>182</v>
      </c>
      <c r="E43" s="244" t="s">
        <v>204</v>
      </c>
      <c r="F43" s="244" t="s">
        <v>172</v>
      </c>
      <c r="G43" s="244" t="s">
        <v>184</v>
      </c>
      <c r="H43" s="244" t="s">
        <v>205</v>
      </c>
      <c r="I43" s="244" t="s">
        <v>175</v>
      </c>
      <c r="J43" s="244" t="s">
        <v>108</v>
      </c>
    </row>
    <row r="44" spans="2:10" ht="12" customHeight="1" x14ac:dyDescent="0.25">
      <c r="B44" s="244" t="s">
        <v>100</v>
      </c>
      <c r="C44" s="244" t="s">
        <v>169</v>
      </c>
      <c r="D44" s="244" t="s">
        <v>182</v>
      </c>
      <c r="E44" s="244" t="s">
        <v>206</v>
      </c>
      <c r="F44" s="244" t="s">
        <v>172</v>
      </c>
      <c r="G44" s="244" t="s">
        <v>184</v>
      </c>
      <c r="H44" s="244" t="s">
        <v>207</v>
      </c>
      <c r="I44" s="244" t="s">
        <v>175</v>
      </c>
      <c r="J44" s="244" t="s">
        <v>108</v>
      </c>
    </row>
    <row r="45" spans="2:10" ht="12" customHeight="1" x14ac:dyDescent="0.25">
      <c r="B45" s="244" t="s">
        <v>100</v>
      </c>
      <c r="C45" s="244" t="s">
        <v>169</v>
      </c>
      <c r="D45" s="244" t="s">
        <v>182</v>
      </c>
      <c r="E45" s="244" t="s">
        <v>208</v>
      </c>
      <c r="F45" s="244" t="s">
        <v>172</v>
      </c>
      <c r="G45" s="244" t="s">
        <v>184</v>
      </c>
      <c r="H45" s="244" t="s">
        <v>209</v>
      </c>
      <c r="I45" s="244" t="s">
        <v>175</v>
      </c>
      <c r="J45" s="244" t="s">
        <v>108</v>
      </c>
    </row>
    <row r="46" spans="2:10" ht="12" customHeight="1" x14ac:dyDescent="0.25">
      <c r="B46" s="244" t="s">
        <v>100</v>
      </c>
      <c r="C46" s="244" t="s">
        <v>169</v>
      </c>
      <c r="D46" s="244" t="s">
        <v>182</v>
      </c>
      <c r="E46" s="244" t="s">
        <v>210</v>
      </c>
      <c r="F46" s="244" t="s">
        <v>172</v>
      </c>
      <c r="G46" s="244" t="s">
        <v>184</v>
      </c>
      <c r="H46" s="244" t="s">
        <v>211</v>
      </c>
      <c r="I46" s="244" t="s">
        <v>175</v>
      </c>
      <c r="J46" s="244" t="s">
        <v>108</v>
      </c>
    </row>
    <row r="47" spans="2:10" ht="12" customHeight="1" x14ac:dyDescent="0.25">
      <c r="B47" s="244" t="s">
        <v>100</v>
      </c>
      <c r="C47" s="244" t="s">
        <v>169</v>
      </c>
      <c r="D47" s="244" t="s">
        <v>182</v>
      </c>
      <c r="E47" s="244" t="s">
        <v>212</v>
      </c>
      <c r="F47" s="244" t="s">
        <v>172</v>
      </c>
      <c r="G47" s="244" t="s">
        <v>184</v>
      </c>
      <c r="H47" s="244" t="s">
        <v>213</v>
      </c>
      <c r="I47" s="244" t="s">
        <v>175</v>
      </c>
      <c r="J47" s="244" t="s">
        <v>108</v>
      </c>
    </row>
    <row r="48" spans="2:10" ht="12" customHeight="1" x14ac:dyDescent="0.25">
      <c r="B48" s="244" t="s">
        <v>100</v>
      </c>
      <c r="C48" s="244" t="s">
        <v>169</v>
      </c>
      <c r="D48" s="244" t="s">
        <v>182</v>
      </c>
      <c r="E48" s="244" t="s">
        <v>214</v>
      </c>
      <c r="F48" s="244" t="s">
        <v>172</v>
      </c>
      <c r="G48" s="244" t="s">
        <v>184</v>
      </c>
      <c r="H48" s="244" t="s">
        <v>215</v>
      </c>
      <c r="I48" s="244" t="s">
        <v>175</v>
      </c>
      <c r="J48" s="244" t="s">
        <v>108</v>
      </c>
    </row>
    <row r="49" spans="2:10" ht="12" customHeight="1" x14ac:dyDescent="0.25">
      <c r="B49" s="244" t="s">
        <v>100</v>
      </c>
      <c r="C49" s="244" t="s">
        <v>169</v>
      </c>
      <c r="D49" s="244" t="s">
        <v>182</v>
      </c>
      <c r="E49" s="244" t="s">
        <v>216</v>
      </c>
      <c r="F49" s="244" t="s">
        <v>172</v>
      </c>
      <c r="G49" s="244" t="s">
        <v>184</v>
      </c>
      <c r="H49" s="244" t="s">
        <v>217</v>
      </c>
      <c r="I49" s="244" t="s">
        <v>175</v>
      </c>
      <c r="J49" s="244" t="s">
        <v>108</v>
      </c>
    </row>
    <row r="50" spans="2:10" ht="12" customHeight="1" x14ac:dyDescent="0.25">
      <c r="B50" s="244" t="s">
        <v>100</v>
      </c>
      <c r="C50" s="244" t="s">
        <v>169</v>
      </c>
      <c r="D50" s="244" t="s">
        <v>182</v>
      </c>
      <c r="E50" s="244" t="s">
        <v>218</v>
      </c>
      <c r="F50" s="244" t="s">
        <v>172</v>
      </c>
      <c r="G50" s="244" t="s">
        <v>184</v>
      </c>
      <c r="H50" s="244" t="s">
        <v>219</v>
      </c>
      <c r="I50" s="244" t="s">
        <v>175</v>
      </c>
      <c r="J50" s="244" t="s">
        <v>108</v>
      </c>
    </row>
    <row r="51" spans="2:10" ht="12" customHeight="1" x14ac:dyDescent="0.25">
      <c r="B51" s="244" t="s">
        <v>100</v>
      </c>
      <c r="C51" s="244" t="s">
        <v>169</v>
      </c>
      <c r="D51" s="244" t="s">
        <v>220</v>
      </c>
      <c r="E51" s="244" t="s">
        <v>221</v>
      </c>
      <c r="F51" s="244" t="s">
        <v>172</v>
      </c>
      <c r="G51" s="244" t="s">
        <v>222</v>
      </c>
      <c r="H51" s="244" t="s">
        <v>223</v>
      </c>
      <c r="I51" s="244" t="s">
        <v>175</v>
      </c>
      <c r="J51" s="244" t="s">
        <v>108</v>
      </c>
    </row>
    <row r="52" spans="2:10" ht="12" customHeight="1" x14ac:dyDescent="0.25">
      <c r="B52" s="244" t="s">
        <v>100</v>
      </c>
      <c r="C52" s="244" t="s">
        <v>169</v>
      </c>
      <c r="D52" s="244" t="s">
        <v>224</v>
      </c>
      <c r="E52" s="244" t="s">
        <v>225</v>
      </c>
      <c r="F52" s="244" t="s">
        <v>172</v>
      </c>
      <c r="G52" s="244" t="s">
        <v>226</v>
      </c>
      <c r="H52" s="244" t="s">
        <v>227</v>
      </c>
      <c r="I52" s="244" t="s">
        <v>175</v>
      </c>
      <c r="J52" s="244" t="s">
        <v>108</v>
      </c>
    </row>
    <row r="53" spans="2:10" ht="12" customHeight="1" x14ac:dyDescent="0.25">
      <c r="B53" s="244" t="s">
        <v>100</v>
      </c>
      <c r="C53" s="244" t="s">
        <v>169</v>
      </c>
      <c r="D53" s="244" t="s">
        <v>224</v>
      </c>
      <c r="E53" s="244" t="s">
        <v>228</v>
      </c>
      <c r="F53" s="244" t="s">
        <v>172</v>
      </c>
      <c r="G53" s="244" t="s">
        <v>226</v>
      </c>
      <c r="H53" s="244" t="s">
        <v>229</v>
      </c>
      <c r="I53" s="244" t="s">
        <v>175</v>
      </c>
      <c r="J53" s="244" t="s">
        <v>108</v>
      </c>
    </row>
    <row r="54" spans="2:10" ht="12" customHeight="1" x14ac:dyDescent="0.25">
      <c r="B54" s="244" t="s">
        <v>100</v>
      </c>
      <c r="C54" s="244" t="s">
        <v>169</v>
      </c>
      <c r="D54" s="244" t="s">
        <v>230</v>
      </c>
      <c r="E54" s="244" t="s">
        <v>231</v>
      </c>
      <c r="F54" s="244" t="s">
        <v>172</v>
      </c>
      <c r="G54" s="244" t="s">
        <v>232</v>
      </c>
      <c r="H54" s="244" t="s">
        <v>233</v>
      </c>
      <c r="I54" s="244" t="s">
        <v>175</v>
      </c>
      <c r="J54" s="244" t="s">
        <v>108</v>
      </c>
    </row>
    <row r="55" spans="2:10" ht="12" customHeight="1" x14ac:dyDescent="0.25">
      <c r="B55" s="244" t="s">
        <v>100</v>
      </c>
      <c r="C55" s="244" t="s">
        <v>169</v>
      </c>
      <c r="D55" s="244" t="s">
        <v>230</v>
      </c>
      <c r="E55" s="244" t="s">
        <v>234</v>
      </c>
      <c r="F55" s="244" t="s">
        <v>172</v>
      </c>
      <c r="G55" s="244" t="s">
        <v>232</v>
      </c>
      <c r="H55" s="244" t="s">
        <v>235</v>
      </c>
      <c r="I55" s="244" t="s">
        <v>175</v>
      </c>
      <c r="J55" s="244" t="s">
        <v>108</v>
      </c>
    </row>
    <row r="56" spans="2:10" ht="12" customHeight="1" x14ac:dyDescent="0.25">
      <c r="B56" s="244" t="s">
        <v>100</v>
      </c>
      <c r="C56" s="244" t="s">
        <v>169</v>
      </c>
      <c r="D56" s="244" t="s">
        <v>230</v>
      </c>
      <c r="E56" s="244" t="s">
        <v>236</v>
      </c>
      <c r="F56" s="244" t="s">
        <v>172</v>
      </c>
      <c r="G56" s="244" t="s">
        <v>232</v>
      </c>
      <c r="H56" s="244" t="s">
        <v>237</v>
      </c>
      <c r="I56" s="244" t="s">
        <v>175</v>
      </c>
      <c r="J56" s="244" t="s">
        <v>108</v>
      </c>
    </row>
    <row r="57" spans="2:10" ht="12" customHeight="1" x14ac:dyDescent="0.25">
      <c r="B57" s="244" t="s">
        <v>100</v>
      </c>
      <c r="C57" s="244" t="s">
        <v>169</v>
      </c>
      <c r="D57" s="244" t="s">
        <v>238</v>
      </c>
      <c r="E57" s="244" t="s">
        <v>239</v>
      </c>
      <c r="F57" s="244" t="s">
        <v>172</v>
      </c>
      <c r="G57" s="244" t="s">
        <v>240</v>
      </c>
      <c r="H57" s="244" t="s">
        <v>241</v>
      </c>
      <c r="I57" s="244" t="s">
        <v>175</v>
      </c>
      <c r="J57" s="244" t="s">
        <v>108</v>
      </c>
    </row>
    <row r="58" spans="2:10" ht="12" customHeight="1" x14ac:dyDescent="0.25">
      <c r="B58" s="244" t="s">
        <v>100</v>
      </c>
      <c r="C58" s="244" t="s">
        <v>242</v>
      </c>
      <c r="D58" s="244" t="s">
        <v>243</v>
      </c>
      <c r="E58" s="244" t="s">
        <v>244</v>
      </c>
      <c r="F58" s="244" t="s">
        <v>245</v>
      </c>
      <c r="G58" s="244" t="s">
        <v>246</v>
      </c>
      <c r="H58" s="244" t="s">
        <v>247</v>
      </c>
      <c r="I58" s="244" t="s">
        <v>107</v>
      </c>
      <c r="J58" s="244" t="s">
        <v>248</v>
      </c>
    </row>
    <row r="59" spans="2:10" ht="12" customHeight="1" x14ac:dyDescent="0.25">
      <c r="B59" s="244" t="s">
        <v>100</v>
      </c>
      <c r="C59" s="244" t="s">
        <v>242</v>
      </c>
      <c r="D59" s="244" t="s">
        <v>243</v>
      </c>
      <c r="E59" s="244" t="s">
        <v>249</v>
      </c>
      <c r="F59" s="244" t="s">
        <v>245</v>
      </c>
      <c r="G59" s="244" t="s">
        <v>246</v>
      </c>
      <c r="H59" s="244" t="s">
        <v>250</v>
      </c>
      <c r="I59" s="244" t="s">
        <v>107</v>
      </c>
      <c r="J59" s="244" t="s">
        <v>248</v>
      </c>
    </row>
    <row r="60" spans="2:10" ht="12" customHeight="1" x14ac:dyDescent="0.25">
      <c r="B60" s="244" t="s">
        <v>100</v>
      </c>
      <c r="C60" s="244" t="s">
        <v>242</v>
      </c>
      <c r="D60" s="244" t="s">
        <v>243</v>
      </c>
      <c r="E60" s="244" t="s">
        <v>251</v>
      </c>
      <c r="F60" s="244" t="s">
        <v>245</v>
      </c>
      <c r="G60" s="244" t="s">
        <v>246</v>
      </c>
      <c r="H60" s="244" t="s">
        <v>252</v>
      </c>
      <c r="I60" s="244" t="s">
        <v>107</v>
      </c>
      <c r="J60" s="244" t="s">
        <v>248</v>
      </c>
    </row>
    <row r="61" spans="2:10" ht="12" customHeight="1" x14ac:dyDescent="0.25">
      <c r="B61" s="244" t="s">
        <v>100</v>
      </c>
      <c r="C61" s="244" t="s">
        <v>242</v>
      </c>
      <c r="D61" s="244" t="s">
        <v>243</v>
      </c>
      <c r="E61" s="244" t="s">
        <v>253</v>
      </c>
      <c r="F61" s="244" t="s">
        <v>245</v>
      </c>
      <c r="G61" s="244" t="s">
        <v>246</v>
      </c>
      <c r="H61" s="244" t="s">
        <v>254</v>
      </c>
      <c r="I61" s="244" t="s">
        <v>107</v>
      </c>
      <c r="J61" s="244" t="s">
        <v>248</v>
      </c>
    </row>
    <row r="62" spans="2:10" ht="12" customHeight="1" x14ac:dyDescent="0.25">
      <c r="B62" s="244" t="s">
        <v>100</v>
      </c>
      <c r="C62" s="244" t="s">
        <v>242</v>
      </c>
      <c r="D62" s="244" t="s">
        <v>243</v>
      </c>
      <c r="E62" s="244" t="s">
        <v>255</v>
      </c>
      <c r="F62" s="244" t="s">
        <v>245</v>
      </c>
      <c r="G62" s="244" t="s">
        <v>246</v>
      </c>
      <c r="H62" s="244" t="s">
        <v>256</v>
      </c>
      <c r="I62" s="244" t="s">
        <v>107</v>
      </c>
      <c r="J62" s="244" t="s">
        <v>248</v>
      </c>
    </row>
    <row r="63" spans="2:10" ht="12" customHeight="1" x14ac:dyDescent="0.25">
      <c r="B63" s="244" t="s">
        <v>100</v>
      </c>
      <c r="C63" s="244" t="s">
        <v>242</v>
      </c>
      <c r="D63" s="244" t="s">
        <v>243</v>
      </c>
      <c r="E63" s="244" t="s">
        <v>257</v>
      </c>
      <c r="F63" s="244" t="s">
        <v>245</v>
      </c>
      <c r="G63" s="244" t="s">
        <v>246</v>
      </c>
      <c r="H63" s="244" t="s">
        <v>258</v>
      </c>
      <c r="I63" s="244" t="s">
        <v>107</v>
      </c>
      <c r="J63" s="244" t="s">
        <v>248</v>
      </c>
    </row>
    <row r="64" spans="2:10" ht="12" customHeight="1" x14ac:dyDescent="0.25">
      <c r="B64" s="244" t="s">
        <v>100</v>
      </c>
      <c r="C64" s="244" t="s">
        <v>242</v>
      </c>
      <c r="D64" s="244" t="s">
        <v>243</v>
      </c>
      <c r="E64" s="244" t="s">
        <v>259</v>
      </c>
      <c r="F64" s="244" t="s">
        <v>245</v>
      </c>
      <c r="G64" s="244" t="s">
        <v>246</v>
      </c>
      <c r="H64" s="244" t="s">
        <v>260</v>
      </c>
      <c r="I64" s="244" t="s">
        <v>107</v>
      </c>
      <c r="J64" s="244" t="s">
        <v>248</v>
      </c>
    </row>
    <row r="65" spans="2:10" ht="12" customHeight="1" x14ac:dyDescent="0.25">
      <c r="B65" s="244" t="s">
        <v>100</v>
      </c>
      <c r="C65" s="244" t="s">
        <v>242</v>
      </c>
      <c r="D65" s="244" t="s">
        <v>261</v>
      </c>
      <c r="E65" s="244" t="s">
        <v>262</v>
      </c>
      <c r="F65" s="244" t="s">
        <v>245</v>
      </c>
      <c r="G65" s="244" t="s">
        <v>263</v>
      </c>
      <c r="H65" s="244" t="s">
        <v>264</v>
      </c>
      <c r="I65" s="244" t="s">
        <v>107</v>
      </c>
      <c r="J65" s="244" t="s">
        <v>248</v>
      </c>
    </row>
    <row r="66" spans="2:10" ht="12" customHeight="1" x14ac:dyDescent="0.25">
      <c r="B66" s="244" t="s">
        <v>100</v>
      </c>
      <c r="C66" s="244" t="s">
        <v>242</v>
      </c>
      <c r="D66" s="244" t="s">
        <v>261</v>
      </c>
      <c r="E66" s="244" t="s">
        <v>265</v>
      </c>
      <c r="F66" s="244" t="s">
        <v>245</v>
      </c>
      <c r="G66" s="244" t="s">
        <v>263</v>
      </c>
      <c r="H66" s="244" t="s">
        <v>266</v>
      </c>
      <c r="I66" s="244" t="s">
        <v>107</v>
      </c>
      <c r="J66" s="244" t="s">
        <v>248</v>
      </c>
    </row>
    <row r="67" spans="2:10" ht="12" customHeight="1" x14ac:dyDescent="0.25">
      <c r="B67" s="244" t="s">
        <v>100</v>
      </c>
      <c r="C67" s="244" t="s">
        <v>242</v>
      </c>
      <c r="D67" s="244" t="s">
        <v>261</v>
      </c>
      <c r="E67" s="244" t="s">
        <v>267</v>
      </c>
      <c r="F67" s="244" t="s">
        <v>245</v>
      </c>
      <c r="G67" s="244" t="s">
        <v>263</v>
      </c>
      <c r="H67" s="244" t="s">
        <v>268</v>
      </c>
      <c r="I67" s="244" t="s">
        <v>107</v>
      </c>
      <c r="J67" s="244" t="s">
        <v>248</v>
      </c>
    </row>
    <row r="68" spans="2:10" ht="12" customHeight="1" x14ac:dyDescent="0.25">
      <c r="B68" s="244" t="s">
        <v>100</v>
      </c>
      <c r="C68" s="244" t="s">
        <v>242</v>
      </c>
      <c r="D68" s="244" t="s">
        <v>261</v>
      </c>
      <c r="E68" s="244" t="s">
        <v>269</v>
      </c>
      <c r="F68" s="244" t="s">
        <v>245</v>
      </c>
      <c r="G68" s="244" t="s">
        <v>263</v>
      </c>
      <c r="H68" s="244" t="s">
        <v>270</v>
      </c>
      <c r="I68" s="244" t="s">
        <v>107</v>
      </c>
      <c r="J68" s="244" t="s">
        <v>248</v>
      </c>
    </row>
    <row r="69" spans="2:10" ht="12" customHeight="1" x14ac:dyDescent="0.25">
      <c r="B69" s="244" t="s">
        <v>100</v>
      </c>
      <c r="C69" s="244" t="s">
        <v>242</v>
      </c>
      <c r="D69" s="244" t="s">
        <v>261</v>
      </c>
      <c r="E69" s="244" t="s">
        <v>271</v>
      </c>
      <c r="F69" s="244" t="s">
        <v>245</v>
      </c>
      <c r="G69" s="244" t="s">
        <v>263</v>
      </c>
      <c r="H69" s="244" t="s">
        <v>272</v>
      </c>
      <c r="I69" s="244" t="s">
        <v>107</v>
      </c>
      <c r="J69" s="244" t="s">
        <v>248</v>
      </c>
    </row>
    <row r="70" spans="2:10" ht="12" customHeight="1" x14ac:dyDescent="0.25">
      <c r="B70" s="244" t="s">
        <v>100</v>
      </c>
      <c r="C70" s="244" t="s">
        <v>242</v>
      </c>
      <c r="D70" s="244" t="s">
        <v>261</v>
      </c>
      <c r="E70" s="244" t="s">
        <v>273</v>
      </c>
      <c r="F70" s="244" t="s">
        <v>245</v>
      </c>
      <c r="G70" s="244" t="s">
        <v>263</v>
      </c>
      <c r="H70" s="244" t="s">
        <v>274</v>
      </c>
      <c r="I70" s="244" t="s">
        <v>107</v>
      </c>
      <c r="J70" s="244" t="s">
        <v>248</v>
      </c>
    </row>
    <row r="71" spans="2:10" ht="12" customHeight="1" x14ac:dyDescent="0.25">
      <c r="B71" s="244" t="s">
        <v>100</v>
      </c>
      <c r="C71" s="244" t="s">
        <v>242</v>
      </c>
      <c r="D71" s="244" t="s">
        <v>275</v>
      </c>
      <c r="E71" s="244" t="s">
        <v>276</v>
      </c>
      <c r="F71" s="244" t="s">
        <v>245</v>
      </c>
      <c r="G71" s="244" t="s">
        <v>277</v>
      </c>
      <c r="H71" s="244" t="s">
        <v>278</v>
      </c>
      <c r="I71" s="244" t="s">
        <v>107</v>
      </c>
      <c r="J71" s="244" t="s">
        <v>248</v>
      </c>
    </row>
    <row r="72" spans="2:10" ht="12" customHeight="1" x14ac:dyDescent="0.25">
      <c r="B72" s="244" t="s">
        <v>100</v>
      </c>
      <c r="C72" s="244" t="s">
        <v>242</v>
      </c>
      <c r="D72" s="244" t="s">
        <v>275</v>
      </c>
      <c r="E72" s="244" t="s">
        <v>279</v>
      </c>
      <c r="F72" s="244" t="s">
        <v>245</v>
      </c>
      <c r="G72" s="244" t="s">
        <v>277</v>
      </c>
      <c r="H72" s="244" t="s">
        <v>280</v>
      </c>
      <c r="I72" s="244" t="s">
        <v>107</v>
      </c>
      <c r="J72" s="244" t="s">
        <v>248</v>
      </c>
    </row>
    <row r="73" spans="2:10" ht="12" customHeight="1" x14ac:dyDescent="0.25">
      <c r="B73" s="244" t="s">
        <v>100</v>
      </c>
      <c r="C73" s="244" t="s">
        <v>242</v>
      </c>
      <c r="D73" s="244" t="s">
        <v>275</v>
      </c>
      <c r="E73" s="244" t="s">
        <v>281</v>
      </c>
      <c r="F73" s="244" t="s">
        <v>245</v>
      </c>
      <c r="G73" s="244" t="s">
        <v>277</v>
      </c>
      <c r="H73" s="244" t="s">
        <v>282</v>
      </c>
      <c r="I73" s="244" t="s">
        <v>107</v>
      </c>
      <c r="J73" s="244" t="s">
        <v>248</v>
      </c>
    </row>
    <row r="74" spans="2:10" ht="12" customHeight="1" x14ac:dyDescent="0.25">
      <c r="B74" s="244" t="s">
        <v>100</v>
      </c>
      <c r="C74" s="244" t="s">
        <v>242</v>
      </c>
      <c r="D74" s="244" t="s">
        <v>275</v>
      </c>
      <c r="E74" s="244" t="s">
        <v>283</v>
      </c>
      <c r="F74" s="244" t="s">
        <v>245</v>
      </c>
      <c r="G74" s="244" t="s">
        <v>277</v>
      </c>
      <c r="H74" s="244" t="s">
        <v>284</v>
      </c>
      <c r="I74" s="244" t="s">
        <v>107</v>
      </c>
      <c r="J74" s="244" t="s">
        <v>248</v>
      </c>
    </row>
    <row r="75" spans="2:10" ht="12" customHeight="1" x14ac:dyDescent="0.25">
      <c r="B75" s="244" t="s">
        <v>100</v>
      </c>
      <c r="C75" s="244" t="s">
        <v>242</v>
      </c>
      <c r="D75" s="244" t="s">
        <v>275</v>
      </c>
      <c r="E75" s="244" t="s">
        <v>285</v>
      </c>
      <c r="F75" s="244" t="s">
        <v>245</v>
      </c>
      <c r="G75" s="244" t="s">
        <v>277</v>
      </c>
      <c r="H75" s="244" t="s">
        <v>286</v>
      </c>
      <c r="I75" s="244" t="s">
        <v>107</v>
      </c>
      <c r="J75" s="244" t="s">
        <v>248</v>
      </c>
    </row>
    <row r="76" spans="2:10" ht="12" customHeight="1" x14ac:dyDescent="0.25">
      <c r="B76" s="244" t="s">
        <v>100</v>
      </c>
      <c r="C76" s="244" t="s">
        <v>242</v>
      </c>
      <c r="D76" s="244" t="s">
        <v>287</v>
      </c>
      <c r="E76" s="244" t="s">
        <v>288</v>
      </c>
      <c r="F76" s="244" t="s">
        <v>245</v>
      </c>
      <c r="G76" s="244" t="s">
        <v>289</v>
      </c>
      <c r="H76" s="244" t="s">
        <v>290</v>
      </c>
      <c r="I76" s="244" t="s">
        <v>107</v>
      </c>
      <c r="J76" s="244" t="s">
        <v>248</v>
      </c>
    </row>
    <row r="77" spans="2:10" ht="12" customHeight="1" x14ac:dyDescent="0.25">
      <c r="B77" s="244" t="s">
        <v>100</v>
      </c>
      <c r="C77" s="244" t="s">
        <v>291</v>
      </c>
      <c r="D77" s="244" t="s">
        <v>292</v>
      </c>
      <c r="E77" s="244" t="s">
        <v>293</v>
      </c>
      <c r="F77" s="244" t="s">
        <v>294</v>
      </c>
      <c r="G77" s="244" t="s">
        <v>295</v>
      </c>
      <c r="H77" s="244" t="s">
        <v>296</v>
      </c>
      <c r="I77" s="244" t="s">
        <v>107</v>
      </c>
      <c r="J77" s="244" t="s">
        <v>248</v>
      </c>
    </row>
    <row r="78" spans="2:10" ht="12" customHeight="1" x14ac:dyDescent="0.25">
      <c r="B78" s="244" t="s">
        <v>100</v>
      </c>
      <c r="C78" s="244" t="s">
        <v>291</v>
      </c>
      <c r="D78" s="244" t="s">
        <v>292</v>
      </c>
      <c r="E78" s="244" t="s">
        <v>297</v>
      </c>
      <c r="F78" s="244" t="s">
        <v>294</v>
      </c>
      <c r="G78" s="244" t="s">
        <v>295</v>
      </c>
      <c r="H78" s="244" t="s">
        <v>298</v>
      </c>
      <c r="I78" s="244" t="s">
        <v>107</v>
      </c>
      <c r="J78" s="244" t="s">
        <v>248</v>
      </c>
    </row>
    <row r="79" spans="2:10" ht="12" customHeight="1" x14ac:dyDescent="0.25">
      <c r="B79" s="244" t="s">
        <v>100</v>
      </c>
      <c r="C79" s="244" t="s">
        <v>291</v>
      </c>
      <c r="D79" s="244" t="s">
        <v>292</v>
      </c>
      <c r="E79" s="244" t="s">
        <v>299</v>
      </c>
      <c r="F79" s="244" t="s">
        <v>294</v>
      </c>
      <c r="G79" s="244" t="s">
        <v>295</v>
      </c>
      <c r="H79" s="244" t="s">
        <v>300</v>
      </c>
      <c r="I79" s="244" t="s">
        <v>107</v>
      </c>
      <c r="J79" s="244" t="s">
        <v>248</v>
      </c>
    </row>
    <row r="80" spans="2:10" ht="12" customHeight="1" x14ac:dyDescent="0.25">
      <c r="B80" s="244" t="s">
        <v>100</v>
      </c>
      <c r="C80" s="244" t="s">
        <v>291</v>
      </c>
      <c r="D80" s="244" t="s">
        <v>292</v>
      </c>
      <c r="E80" s="244" t="s">
        <v>301</v>
      </c>
      <c r="F80" s="244" t="s">
        <v>294</v>
      </c>
      <c r="G80" s="244" t="s">
        <v>295</v>
      </c>
      <c r="H80" s="244" t="s">
        <v>302</v>
      </c>
      <c r="I80" s="244" t="s">
        <v>107</v>
      </c>
      <c r="J80" s="244" t="s">
        <v>248</v>
      </c>
    </row>
    <row r="81" spans="2:10" ht="12" customHeight="1" x14ac:dyDescent="0.25">
      <c r="B81" s="244" t="s">
        <v>100</v>
      </c>
      <c r="C81" s="244" t="s">
        <v>291</v>
      </c>
      <c r="D81" s="244" t="s">
        <v>292</v>
      </c>
      <c r="E81" s="244" t="s">
        <v>303</v>
      </c>
      <c r="F81" s="244" t="s">
        <v>294</v>
      </c>
      <c r="G81" s="244" t="s">
        <v>295</v>
      </c>
      <c r="H81" s="244" t="s">
        <v>304</v>
      </c>
      <c r="I81" s="244" t="s">
        <v>107</v>
      </c>
      <c r="J81" s="244" t="s">
        <v>248</v>
      </c>
    </row>
    <row r="82" spans="2:10" ht="12" customHeight="1" x14ac:dyDescent="0.25">
      <c r="B82" s="244" t="s">
        <v>100</v>
      </c>
      <c r="C82" s="244" t="s">
        <v>291</v>
      </c>
      <c r="D82" s="244" t="s">
        <v>305</v>
      </c>
      <c r="E82" s="244" t="s">
        <v>306</v>
      </c>
      <c r="F82" s="244" t="s">
        <v>294</v>
      </c>
      <c r="G82" s="244" t="s">
        <v>307</v>
      </c>
      <c r="H82" s="244" t="s">
        <v>308</v>
      </c>
      <c r="I82" s="244" t="s">
        <v>107</v>
      </c>
      <c r="J82" s="244" t="s">
        <v>248</v>
      </c>
    </row>
    <row r="83" spans="2:10" ht="12" customHeight="1" x14ac:dyDescent="0.25">
      <c r="B83" s="244" t="s">
        <v>100</v>
      </c>
      <c r="C83" s="244" t="s">
        <v>291</v>
      </c>
      <c r="D83" s="244" t="s">
        <v>309</v>
      </c>
      <c r="E83" s="244" t="s">
        <v>310</v>
      </c>
      <c r="F83" s="244" t="s">
        <v>294</v>
      </c>
      <c r="G83" s="244" t="s">
        <v>311</v>
      </c>
      <c r="H83" s="244" t="s">
        <v>312</v>
      </c>
      <c r="I83" s="244" t="s">
        <v>107</v>
      </c>
      <c r="J83" s="244" t="s">
        <v>248</v>
      </c>
    </row>
    <row r="84" spans="2:10" ht="12" customHeight="1" x14ac:dyDescent="0.25">
      <c r="B84" s="244" t="s">
        <v>100</v>
      </c>
      <c r="C84" s="244" t="s">
        <v>313</v>
      </c>
      <c r="D84" s="244" t="s">
        <v>314</v>
      </c>
      <c r="E84" s="244" t="s">
        <v>315</v>
      </c>
      <c r="F84" s="244" t="s">
        <v>316</v>
      </c>
      <c r="G84" s="244" t="s">
        <v>317</v>
      </c>
      <c r="H84" s="244" t="s">
        <v>318</v>
      </c>
      <c r="I84" s="244" t="s">
        <v>107</v>
      </c>
      <c r="J84" s="244" t="s">
        <v>248</v>
      </c>
    </row>
    <row r="85" spans="2:10" ht="12" customHeight="1" x14ac:dyDescent="0.25">
      <c r="B85" s="244" t="s">
        <v>100</v>
      </c>
      <c r="C85" s="244" t="s">
        <v>313</v>
      </c>
      <c r="D85" s="244" t="s">
        <v>314</v>
      </c>
      <c r="E85" s="244" t="s">
        <v>319</v>
      </c>
      <c r="F85" s="244" t="s">
        <v>316</v>
      </c>
      <c r="G85" s="244" t="s">
        <v>317</v>
      </c>
      <c r="H85" s="244" t="s">
        <v>320</v>
      </c>
      <c r="I85" s="244" t="s">
        <v>107</v>
      </c>
      <c r="J85" s="244" t="s">
        <v>248</v>
      </c>
    </row>
    <row r="86" spans="2:10" ht="12" customHeight="1" x14ac:dyDescent="0.25">
      <c r="B86" s="244" t="s">
        <v>100</v>
      </c>
      <c r="C86" s="244" t="s">
        <v>313</v>
      </c>
      <c r="D86" s="244" t="s">
        <v>314</v>
      </c>
      <c r="E86" s="244" t="s">
        <v>321</v>
      </c>
      <c r="F86" s="244" t="s">
        <v>316</v>
      </c>
      <c r="G86" s="244" t="s">
        <v>317</v>
      </c>
      <c r="H86" s="244" t="s">
        <v>322</v>
      </c>
      <c r="I86" s="244" t="s">
        <v>107</v>
      </c>
      <c r="J86" s="244" t="s">
        <v>248</v>
      </c>
    </row>
    <row r="87" spans="2:10" ht="12" customHeight="1" x14ac:dyDescent="0.25">
      <c r="B87" s="244" t="s">
        <v>100</v>
      </c>
      <c r="C87" s="244" t="s">
        <v>313</v>
      </c>
      <c r="D87" s="244" t="s">
        <v>314</v>
      </c>
      <c r="E87" s="244" t="s">
        <v>323</v>
      </c>
      <c r="F87" s="244" t="s">
        <v>316</v>
      </c>
      <c r="G87" s="244" t="s">
        <v>317</v>
      </c>
      <c r="H87" s="244" t="s">
        <v>324</v>
      </c>
      <c r="I87" s="244" t="s">
        <v>107</v>
      </c>
      <c r="J87" s="244" t="s">
        <v>248</v>
      </c>
    </row>
    <row r="88" spans="2:10" ht="12" customHeight="1" x14ac:dyDescent="0.25">
      <c r="B88" s="244" t="s">
        <v>100</v>
      </c>
      <c r="C88" s="244" t="s">
        <v>313</v>
      </c>
      <c r="D88" s="244" t="s">
        <v>314</v>
      </c>
      <c r="E88" s="244" t="s">
        <v>325</v>
      </c>
      <c r="F88" s="244" t="s">
        <v>316</v>
      </c>
      <c r="G88" s="244" t="s">
        <v>317</v>
      </c>
      <c r="H88" s="244" t="s">
        <v>326</v>
      </c>
      <c r="I88" s="244" t="s">
        <v>107</v>
      </c>
      <c r="J88" s="244" t="s">
        <v>248</v>
      </c>
    </row>
    <row r="89" spans="2:10" ht="12" customHeight="1" x14ac:dyDescent="0.25">
      <c r="B89" s="244" t="s">
        <v>100</v>
      </c>
      <c r="C89" s="244" t="s">
        <v>313</v>
      </c>
      <c r="D89" s="244" t="s">
        <v>314</v>
      </c>
      <c r="E89" s="244" t="s">
        <v>327</v>
      </c>
      <c r="F89" s="244" t="s">
        <v>316</v>
      </c>
      <c r="G89" s="244" t="s">
        <v>317</v>
      </c>
      <c r="H89" s="244" t="s">
        <v>328</v>
      </c>
      <c r="I89" s="244" t="s">
        <v>107</v>
      </c>
      <c r="J89" s="244" t="s">
        <v>248</v>
      </c>
    </row>
    <row r="90" spans="2:10" ht="12" customHeight="1" x14ac:dyDescent="0.25">
      <c r="B90" s="244" t="s">
        <v>100</v>
      </c>
      <c r="C90" s="244" t="s">
        <v>554</v>
      </c>
      <c r="D90" s="244" t="s">
        <v>555</v>
      </c>
      <c r="E90" s="244" t="s">
        <v>556</v>
      </c>
      <c r="F90" s="244" t="str">
        <f>LEFT(C90,2)</f>
        <v>18</v>
      </c>
      <c r="G90" s="244" t="str">
        <f>LEFT(D90,3)</f>
        <v>181</v>
      </c>
      <c r="H90" s="244" t="str">
        <f>LEFT(E90,4)</f>
        <v>1811</v>
      </c>
      <c r="I90" s="244" t="s">
        <v>175</v>
      </c>
      <c r="J90" s="244" t="s">
        <v>591</v>
      </c>
    </row>
    <row r="91" spans="2:10" x14ac:dyDescent="0.25">
      <c r="B91" s="244" t="s">
        <v>100</v>
      </c>
      <c r="C91" s="244" t="s">
        <v>554</v>
      </c>
      <c r="D91" s="244" t="s">
        <v>555</v>
      </c>
      <c r="E91" s="244" t="s">
        <v>557</v>
      </c>
      <c r="F91" s="244" t="str">
        <f t="shared" ref="F91:F118" si="0">LEFT(C91,2)</f>
        <v>18</v>
      </c>
      <c r="G91" s="244" t="str">
        <f t="shared" ref="G91:G118" si="1">LEFT(D91,3)</f>
        <v>181</v>
      </c>
      <c r="H91" s="244" t="str">
        <f t="shared" ref="H91:H118" si="2">LEFT(E91,4)</f>
        <v>1812</v>
      </c>
      <c r="I91" s="244" t="s">
        <v>175</v>
      </c>
      <c r="J91" s="244" t="s">
        <v>591</v>
      </c>
    </row>
    <row r="92" spans="2:10" x14ac:dyDescent="0.25">
      <c r="B92" s="244" t="s">
        <v>100</v>
      </c>
      <c r="C92" s="244" t="s">
        <v>554</v>
      </c>
      <c r="D92" s="244" t="s">
        <v>555</v>
      </c>
      <c r="E92" s="244" t="s">
        <v>558</v>
      </c>
      <c r="F92" s="244" t="str">
        <f t="shared" si="0"/>
        <v>18</v>
      </c>
      <c r="G92" s="244" t="str">
        <f t="shared" si="1"/>
        <v>181</v>
      </c>
      <c r="H92" s="244" t="str">
        <f t="shared" si="2"/>
        <v>1813</v>
      </c>
      <c r="I92" s="244" t="s">
        <v>175</v>
      </c>
      <c r="J92" s="244" t="s">
        <v>591</v>
      </c>
    </row>
    <row r="93" spans="2:10" x14ac:dyDescent="0.25">
      <c r="B93" s="244" t="s">
        <v>100</v>
      </c>
      <c r="C93" s="244" t="s">
        <v>554</v>
      </c>
      <c r="D93" s="244" t="s">
        <v>555</v>
      </c>
      <c r="E93" s="244" t="s">
        <v>559</v>
      </c>
      <c r="F93" s="244" t="str">
        <f t="shared" si="0"/>
        <v>18</v>
      </c>
      <c r="G93" s="244" t="str">
        <f t="shared" si="1"/>
        <v>181</v>
      </c>
      <c r="H93" s="244" t="str">
        <f t="shared" si="2"/>
        <v>1814</v>
      </c>
      <c r="I93" s="244" t="s">
        <v>175</v>
      </c>
      <c r="J93" s="244" t="s">
        <v>591</v>
      </c>
    </row>
    <row r="94" spans="2:10" x14ac:dyDescent="0.25">
      <c r="B94" s="244" t="s">
        <v>100</v>
      </c>
      <c r="C94" s="244" t="s">
        <v>554</v>
      </c>
      <c r="D94" s="244" t="s">
        <v>560</v>
      </c>
      <c r="E94" s="244" t="s">
        <v>561</v>
      </c>
      <c r="F94" s="244" t="str">
        <f t="shared" si="0"/>
        <v>18</v>
      </c>
      <c r="G94" s="244" t="str">
        <f t="shared" si="1"/>
        <v>182</v>
      </c>
      <c r="H94" s="244" t="str">
        <f t="shared" si="2"/>
        <v>1821</v>
      </c>
      <c r="I94" s="244" t="s">
        <v>175</v>
      </c>
      <c r="J94" s="244" t="s">
        <v>591</v>
      </c>
    </row>
    <row r="95" spans="2:10" x14ac:dyDescent="0.25">
      <c r="B95" s="244" t="s">
        <v>100</v>
      </c>
      <c r="C95" s="244" t="s">
        <v>554</v>
      </c>
      <c r="D95" s="244" t="s">
        <v>560</v>
      </c>
      <c r="E95" s="244" t="s">
        <v>562</v>
      </c>
      <c r="F95" s="244" t="str">
        <f t="shared" si="0"/>
        <v>18</v>
      </c>
      <c r="G95" s="244" t="str">
        <f t="shared" si="1"/>
        <v>182</v>
      </c>
      <c r="H95" s="244" t="str">
        <f t="shared" si="2"/>
        <v>1822</v>
      </c>
      <c r="I95" s="244" t="s">
        <v>175</v>
      </c>
      <c r="J95" s="244" t="s">
        <v>591</v>
      </c>
    </row>
    <row r="96" spans="2:10" x14ac:dyDescent="0.25">
      <c r="B96" s="244" t="s">
        <v>100</v>
      </c>
      <c r="C96" s="244" t="s">
        <v>554</v>
      </c>
      <c r="D96" s="244" t="s">
        <v>560</v>
      </c>
      <c r="E96" s="244" t="s">
        <v>563</v>
      </c>
      <c r="F96" s="244" t="str">
        <f t="shared" si="0"/>
        <v>18</v>
      </c>
      <c r="G96" s="244" t="str">
        <f t="shared" si="1"/>
        <v>182</v>
      </c>
      <c r="H96" s="244" t="str">
        <f t="shared" si="2"/>
        <v>1823</v>
      </c>
      <c r="I96" s="244" t="s">
        <v>175</v>
      </c>
      <c r="J96" s="244" t="s">
        <v>591</v>
      </c>
    </row>
    <row r="97" spans="2:10" x14ac:dyDescent="0.25">
      <c r="B97" s="244" t="s">
        <v>100</v>
      </c>
      <c r="C97" s="244" t="s">
        <v>554</v>
      </c>
      <c r="D97" s="244" t="s">
        <v>560</v>
      </c>
      <c r="E97" s="244" t="s">
        <v>564</v>
      </c>
      <c r="F97" s="244" t="str">
        <f t="shared" si="0"/>
        <v>18</v>
      </c>
      <c r="G97" s="244" t="str">
        <f t="shared" si="1"/>
        <v>182</v>
      </c>
      <c r="H97" s="244" t="str">
        <f t="shared" si="2"/>
        <v>1824</v>
      </c>
      <c r="I97" s="244" t="s">
        <v>175</v>
      </c>
      <c r="J97" s="244" t="s">
        <v>591</v>
      </c>
    </row>
    <row r="98" spans="2:10" x14ac:dyDescent="0.25">
      <c r="B98" s="244" t="s">
        <v>100</v>
      </c>
      <c r="C98" s="244" t="s">
        <v>554</v>
      </c>
      <c r="D98" s="244" t="s">
        <v>560</v>
      </c>
      <c r="E98" s="244" t="s">
        <v>565</v>
      </c>
      <c r="F98" s="244" t="str">
        <f t="shared" si="0"/>
        <v>18</v>
      </c>
      <c r="G98" s="244" t="str">
        <f t="shared" si="1"/>
        <v>182</v>
      </c>
      <c r="H98" s="244" t="str">
        <f t="shared" si="2"/>
        <v>1825</v>
      </c>
      <c r="I98" s="244" t="s">
        <v>175</v>
      </c>
      <c r="J98" s="244" t="s">
        <v>591</v>
      </c>
    </row>
    <row r="99" spans="2:10" x14ac:dyDescent="0.25">
      <c r="B99" s="244" t="s">
        <v>100</v>
      </c>
      <c r="C99" s="244" t="s">
        <v>554</v>
      </c>
      <c r="D99" s="244" t="s">
        <v>560</v>
      </c>
      <c r="E99" s="244" t="s">
        <v>566</v>
      </c>
      <c r="F99" s="244" t="str">
        <f t="shared" si="0"/>
        <v>18</v>
      </c>
      <c r="G99" s="244" t="str">
        <f t="shared" si="1"/>
        <v>182</v>
      </c>
      <c r="H99" s="244" t="str">
        <f t="shared" si="2"/>
        <v>1826</v>
      </c>
      <c r="I99" s="244" t="s">
        <v>175</v>
      </c>
      <c r="J99" s="244" t="s">
        <v>591</v>
      </c>
    </row>
    <row r="100" spans="2:10" x14ac:dyDescent="0.25">
      <c r="B100" s="244" t="s">
        <v>100</v>
      </c>
      <c r="C100" s="244" t="s">
        <v>554</v>
      </c>
      <c r="D100" s="244" t="s">
        <v>560</v>
      </c>
      <c r="E100" s="244" t="s">
        <v>567</v>
      </c>
      <c r="F100" s="244" t="str">
        <f t="shared" si="0"/>
        <v>18</v>
      </c>
      <c r="G100" s="244" t="str">
        <f t="shared" si="1"/>
        <v>182</v>
      </c>
      <c r="H100" s="244" t="str">
        <f t="shared" si="2"/>
        <v>1827</v>
      </c>
      <c r="I100" s="244" t="s">
        <v>175</v>
      </c>
      <c r="J100" s="244" t="s">
        <v>591</v>
      </c>
    </row>
    <row r="101" spans="2:10" x14ac:dyDescent="0.25">
      <c r="B101" s="244" t="s">
        <v>100</v>
      </c>
      <c r="C101" s="244" t="s">
        <v>554</v>
      </c>
      <c r="D101" s="244" t="s">
        <v>560</v>
      </c>
      <c r="E101" s="244" t="s">
        <v>568</v>
      </c>
      <c r="F101" s="244" t="str">
        <f t="shared" si="0"/>
        <v>18</v>
      </c>
      <c r="G101" s="244" t="str">
        <f t="shared" si="1"/>
        <v>182</v>
      </c>
      <c r="H101" s="244" t="str">
        <f t="shared" si="2"/>
        <v>1828</v>
      </c>
      <c r="I101" s="244" t="s">
        <v>175</v>
      </c>
      <c r="J101" s="244" t="s">
        <v>591</v>
      </c>
    </row>
    <row r="102" spans="2:10" x14ac:dyDescent="0.25">
      <c r="B102" s="244" t="s">
        <v>100</v>
      </c>
      <c r="C102" s="244" t="s">
        <v>554</v>
      </c>
      <c r="D102" s="244" t="s">
        <v>560</v>
      </c>
      <c r="E102" s="244" t="s">
        <v>569</v>
      </c>
      <c r="F102" s="244" t="str">
        <f t="shared" si="0"/>
        <v>18</v>
      </c>
      <c r="G102" s="244" t="str">
        <f t="shared" si="1"/>
        <v>182</v>
      </c>
      <c r="H102" s="244" t="str">
        <f t="shared" si="2"/>
        <v>1829</v>
      </c>
      <c r="I102" s="244" t="s">
        <v>175</v>
      </c>
      <c r="J102" s="244" t="s">
        <v>591</v>
      </c>
    </row>
    <row r="103" spans="2:10" x14ac:dyDescent="0.25">
      <c r="B103" s="244" t="s">
        <v>100</v>
      </c>
      <c r="C103" s="244" t="s">
        <v>554</v>
      </c>
      <c r="D103" s="244" t="s">
        <v>570</v>
      </c>
      <c r="E103" s="244" t="s">
        <v>571</v>
      </c>
      <c r="F103" s="244" t="str">
        <f t="shared" si="0"/>
        <v>18</v>
      </c>
      <c r="G103" s="244" t="str">
        <f t="shared" si="1"/>
        <v>183</v>
      </c>
      <c r="H103" s="244" t="str">
        <f t="shared" si="2"/>
        <v>1831</v>
      </c>
      <c r="I103" s="244" t="s">
        <v>175</v>
      </c>
      <c r="J103" s="244" t="s">
        <v>591</v>
      </c>
    </row>
    <row r="104" spans="2:10" x14ac:dyDescent="0.25">
      <c r="B104" s="244" t="s">
        <v>100</v>
      </c>
      <c r="C104" s="244" t="s">
        <v>554</v>
      </c>
      <c r="D104" s="244" t="s">
        <v>570</v>
      </c>
      <c r="E104" s="244" t="s">
        <v>572</v>
      </c>
      <c r="F104" s="244" t="str">
        <f t="shared" si="0"/>
        <v>18</v>
      </c>
      <c r="G104" s="244" t="str">
        <f t="shared" si="1"/>
        <v>183</v>
      </c>
      <c r="H104" s="244" t="str">
        <f t="shared" si="2"/>
        <v>1832</v>
      </c>
      <c r="I104" s="244" t="s">
        <v>175</v>
      </c>
      <c r="J104" s="244" t="s">
        <v>591</v>
      </c>
    </row>
    <row r="105" spans="2:10" x14ac:dyDescent="0.25">
      <c r="B105" s="244" t="s">
        <v>100</v>
      </c>
      <c r="C105" s="244" t="s">
        <v>554</v>
      </c>
      <c r="D105" s="244" t="s">
        <v>570</v>
      </c>
      <c r="E105" s="244" t="s">
        <v>573</v>
      </c>
      <c r="F105" s="244" t="str">
        <f t="shared" si="0"/>
        <v>18</v>
      </c>
      <c r="G105" s="244" t="str">
        <f t="shared" si="1"/>
        <v>183</v>
      </c>
      <c r="H105" s="244" t="str">
        <f t="shared" si="2"/>
        <v>1833</v>
      </c>
      <c r="I105" s="244" t="s">
        <v>175</v>
      </c>
      <c r="J105" s="244" t="s">
        <v>591</v>
      </c>
    </row>
    <row r="106" spans="2:10" x14ac:dyDescent="0.25">
      <c r="B106" s="244" t="s">
        <v>100</v>
      </c>
      <c r="C106" s="244" t="s">
        <v>554</v>
      </c>
      <c r="D106" s="244" t="s">
        <v>570</v>
      </c>
      <c r="E106" s="244" t="s">
        <v>574</v>
      </c>
      <c r="F106" s="244" t="str">
        <f t="shared" si="0"/>
        <v>18</v>
      </c>
      <c r="G106" s="244" t="str">
        <f t="shared" si="1"/>
        <v>183</v>
      </c>
      <c r="H106" s="244" t="str">
        <f t="shared" si="2"/>
        <v>1834</v>
      </c>
      <c r="I106" s="244" t="s">
        <v>175</v>
      </c>
      <c r="J106" s="244" t="s">
        <v>591</v>
      </c>
    </row>
    <row r="107" spans="2:10" x14ac:dyDescent="0.25">
      <c r="B107" s="244" t="s">
        <v>100</v>
      </c>
      <c r="C107" s="244" t="s">
        <v>554</v>
      </c>
      <c r="D107" s="244" t="s">
        <v>570</v>
      </c>
      <c r="E107" s="244" t="s">
        <v>575</v>
      </c>
      <c r="F107" s="244" t="str">
        <f t="shared" si="0"/>
        <v>18</v>
      </c>
      <c r="G107" s="244" t="str">
        <f t="shared" si="1"/>
        <v>183</v>
      </c>
      <c r="H107" s="244" t="str">
        <f t="shared" si="2"/>
        <v>1835</v>
      </c>
      <c r="I107" s="244" t="s">
        <v>175</v>
      </c>
      <c r="J107" s="244" t="s">
        <v>591</v>
      </c>
    </row>
    <row r="108" spans="2:10" x14ac:dyDescent="0.25">
      <c r="B108" s="244" t="s">
        <v>100</v>
      </c>
      <c r="C108" s="244" t="s">
        <v>554</v>
      </c>
      <c r="D108" s="244" t="s">
        <v>570</v>
      </c>
      <c r="E108" s="244" t="s">
        <v>576</v>
      </c>
      <c r="F108" s="244" t="str">
        <f t="shared" si="0"/>
        <v>18</v>
      </c>
      <c r="G108" s="244" t="str">
        <f t="shared" si="1"/>
        <v>183</v>
      </c>
      <c r="H108" s="244" t="str">
        <f t="shared" si="2"/>
        <v>1836</v>
      </c>
      <c r="I108" s="244" t="s">
        <v>175</v>
      </c>
      <c r="J108" s="244" t="s">
        <v>591</v>
      </c>
    </row>
    <row r="109" spans="2:10" x14ac:dyDescent="0.25">
      <c r="B109" s="244" t="s">
        <v>100</v>
      </c>
      <c r="C109" s="244" t="s">
        <v>554</v>
      </c>
      <c r="D109" s="244" t="s">
        <v>570</v>
      </c>
      <c r="E109" s="244" t="s">
        <v>577</v>
      </c>
      <c r="F109" s="244" t="str">
        <f t="shared" si="0"/>
        <v>18</v>
      </c>
      <c r="G109" s="244" t="str">
        <f t="shared" si="1"/>
        <v>183</v>
      </c>
      <c r="H109" s="244" t="str">
        <f t="shared" si="2"/>
        <v>1837</v>
      </c>
      <c r="I109" s="244" t="s">
        <v>175</v>
      </c>
      <c r="J109" s="244" t="s">
        <v>591</v>
      </c>
    </row>
    <row r="110" spans="2:10" x14ac:dyDescent="0.25">
      <c r="B110" s="244" t="s">
        <v>100</v>
      </c>
      <c r="C110" s="244" t="s">
        <v>554</v>
      </c>
      <c r="D110" s="244" t="s">
        <v>570</v>
      </c>
      <c r="E110" s="244" t="s">
        <v>578</v>
      </c>
      <c r="F110" s="244" t="str">
        <f t="shared" si="0"/>
        <v>18</v>
      </c>
      <c r="G110" s="244" t="str">
        <f t="shared" si="1"/>
        <v>183</v>
      </c>
      <c r="H110" s="244" t="str">
        <f t="shared" si="2"/>
        <v>1838</v>
      </c>
      <c r="I110" s="244" t="s">
        <v>175</v>
      </c>
      <c r="J110" s="244" t="s">
        <v>591</v>
      </c>
    </row>
    <row r="111" spans="2:10" x14ac:dyDescent="0.25">
      <c r="B111" s="244" t="s">
        <v>100</v>
      </c>
      <c r="C111" s="244" t="s">
        <v>554</v>
      </c>
      <c r="D111" s="244" t="s">
        <v>570</v>
      </c>
      <c r="E111" s="244" t="s">
        <v>579</v>
      </c>
      <c r="F111" s="244" t="str">
        <f t="shared" si="0"/>
        <v>18</v>
      </c>
      <c r="G111" s="244" t="str">
        <f t="shared" si="1"/>
        <v>183</v>
      </c>
      <c r="H111" s="244" t="str">
        <f t="shared" si="2"/>
        <v>1839</v>
      </c>
      <c r="I111" s="244" t="s">
        <v>175</v>
      </c>
      <c r="J111" s="244" t="s">
        <v>591</v>
      </c>
    </row>
    <row r="112" spans="2:10" x14ac:dyDescent="0.25">
      <c r="B112" s="244" t="s">
        <v>100</v>
      </c>
      <c r="C112" s="244" t="s">
        <v>554</v>
      </c>
      <c r="D112" s="244" t="s">
        <v>580</v>
      </c>
      <c r="E112" s="244" t="s">
        <v>581</v>
      </c>
      <c r="F112" s="244" t="str">
        <f t="shared" si="0"/>
        <v>18</v>
      </c>
      <c r="G112" s="244" t="str">
        <f t="shared" si="1"/>
        <v>184</v>
      </c>
      <c r="H112" s="244" t="str">
        <f t="shared" si="2"/>
        <v>1841</v>
      </c>
      <c r="I112" s="244" t="s">
        <v>175</v>
      </c>
      <c r="J112" s="244" t="s">
        <v>591</v>
      </c>
    </row>
    <row r="113" spans="2:10" x14ac:dyDescent="0.25">
      <c r="B113" s="244" t="s">
        <v>100</v>
      </c>
      <c r="C113" s="244" t="s">
        <v>554</v>
      </c>
      <c r="D113" s="244" t="s">
        <v>582</v>
      </c>
      <c r="E113" s="244" t="s">
        <v>583</v>
      </c>
      <c r="F113" s="244" t="str">
        <f t="shared" si="0"/>
        <v>18</v>
      </c>
      <c r="G113" s="244" t="str">
        <f t="shared" si="1"/>
        <v>185</v>
      </c>
      <c r="H113" s="244" t="str">
        <f t="shared" si="2"/>
        <v>1851</v>
      </c>
      <c r="I113" s="244" t="s">
        <v>175</v>
      </c>
      <c r="J113" s="244" t="s">
        <v>591</v>
      </c>
    </row>
    <row r="114" spans="2:10" x14ac:dyDescent="0.25">
      <c r="B114" s="244" t="s">
        <v>100</v>
      </c>
      <c r="C114" s="244" t="s">
        <v>554</v>
      </c>
      <c r="D114" s="244" t="s">
        <v>582</v>
      </c>
      <c r="E114" s="244" t="s">
        <v>584</v>
      </c>
      <c r="F114" s="244" t="str">
        <f t="shared" si="0"/>
        <v>18</v>
      </c>
      <c r="G114" s="244" t="str">
        <f t="shared" si="1"/>
        <v>185</v>
      </c>
      <c r="H114" s="244" t="str">
        <f t="shared" si="2"/>
        <v>1852</v>
      </c>
      <c r="I114" s="244" t="s">
        <v>175</v>
      </c>
      <c r="J114" s="244" t="s">
        <v>591</v>
      </c>
    </row>
    <row r="115" spans="2:10" x14ac:dyDescent="0.25">
      <c r="B115" s="244" t="s">
        <v>100</v>
      </c>
      <c r="C115" s="244" t="s">
        <v>554</v>
      </c>
      <c r="D115" s="244" t="s">
        <v>585</v>
      </c>
      <c r="E115" s="244" t="s">
        <v>586</v>
      </c>
      <c r="F115" s="244" t="str">
        <f t="shared" si="0"/>
        <v>18</v>
      </c>
      <c r="G115" s="244" t="str">
        <f t="shared" si="1"/>
        <v>186</v>
      </c>
      <c r="H115" s="244" t="str">
        <f t="shared" si="2"/>
        <v>1861</v>
      </c>
      <c r="I115" s="244" t="s">
        <v>175</v>
      </c>
      <c r="J115" s="244" t="s">
        <v>591</v>
      </c>
    </row>
    <row r="116" spans="2:10" x14ac:dyDescent="0.25">
      <c r="B116" s="244" t="s">
        <v>100</v>
      </c>
      <c r="C116" s="244" t="s">
        <v>554</v>
      </c>
      <c r="D116" s="244" t="s">
        <v>585</v>
      </c>
      <c r="E116" s="244" t="s">
        <v>587</v>
      </c>
      <c r="F116" s="244" t="str">
        <f t="shared" si="0"/>
        <v>18</v>
      </c>
      <c r="G116" s="244" t="str">
        <f t="shared" si="1"/>
        <v>186</v>
      </c>
      <c r="H116" s="244" t="str">
        <f t="shared" si="2"/>
        <v>1862</v>
      </c>
      <c r="I116" s="244" t="s">
        <v>175</v>
      </c>
      <c r="J116" s="244" t="s">
        <v>591</v>
      </c>
    </row>
    <row r="117" spans="2:10" x14ac:dyDescent="0.25">
      <c r="B117" s="244" t="s">
        <v>100</v>
      </c>
      <c r="C117" s="244" t="s">
        <v>554</v>
      </c>
      <c r="D117" s="244" t="s">
        <v>585</v>
      </c>
      <c r="E117" s="244" t="s">
        <v>588</v>
      </c>
      <c r="F117" s="244" t="str">
        <f t="shared" si="0"/>
        <v>18</v>
      </c>
      <c r="G117" s="244" t="str">
        <f t="shared" si="1"/>
        <v>186</v>
      </c>
      <c r="H117" s="244" t="str">
        <f t="shared" si="2"/>
        <v>1863</v>
      </c>
      <c r="I117" s="244" t="s">
        <v>175</v>
      </c>
      <c r="J117" s="244" t="s">
        <v>591</v>
      </c>
    </row>
    <row r="118" spans="2:10" x14ac:dyDescent="0.25">
      <c r="B118" s="244" t="s">
        <v>100</v>
      </c>
      <c r="C118" s="244" t="s">
        <v>554</v>
      </c>
      <c r="D118" s="244" t="s">
        <v>589</v>
      </c>
      <c r="E118" s="244" t="s">
        <v>590</v>
      </c>
      <c r="F118" s="244" t="str">
        <f t="shared" si="0"/>
        <v>18</v>
      </c>
      <c r="G118" s="244" t="str">
        <f t="shared" si="1"/>
        <v>187</v>
      </c>
      <c r="H118" s="244" t="str">
        <f t="shared" si="2"/>
        <v>1871</v>
      </c>
      <c r="I118" s="244" t="s">
        <v>175</v>
      </c>
      <c r="J118" s="244" t="s">
        <v>591</v>
      </c>
    </row>
  </sheetData>
  <autoFilter ref="B2:J2" xr:uid="{924110F9-0D17-426B-B734-BDAB252035F4}"/>
  <phoneticPr fontId="6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18"/>
  <sheetViews>
    <sheetView topLeftCell="A82" zoomScale="80" zoomScaleNormal="80" workbookViewId="0">
      <selection activeCell="C23" sqref="C23"/>
    </sheetView>
  </sheetViews>
  <sheetFormatPr defaultColWidth="9.19921875" defaultRowHeight="10.199999999999999" x14ac:dyDescent="0.2"/>
  <cols>
    <col min="1" max="1" width="9.19921875" style="200"/>
    <col min="2" max="2" width="15" style="200" bestFit="1" customWidth="1"/>
    <col min="3" max="3" width="16.59765625" style="200" bestFit="1" customWidth="1"/>
    <col min="4" max="4" width="78.59765625" style="200" bestFit="1" customWidth="1"/>
    <col min="5" max="16384" width="9.19921875" style="200"/>
  </cols>
  <sheetData>
    <row r="2" spans="2:4" x14ac:dyDescent="0.2">
      <c r="B2" s="236" t="s">
        <v>46</v>
      </c>
      <c r="C2" s="236" t="s">
        <v>47</v>
      </c>
      <c r="D2" s="236" t="s">
        <v>48</v>
      </c>
    </row>
    <row r="3" spans="2:4" x14ac:dyDescent="0.2">
      <c r="B3" s="200" t="s">
        <v>101</v>
      </c>
      <c r="C3" s="200" t="s">
        <v>102</v>
      </c>
      <c r="D3" s="200" t="s">
        <v>103</v>
      </c>
    </row>
    <row r="4" spans="2:4" x14ac:dyDescent="0.2">
      <c r="B4" s="200" t="s">
        <v>133</v>
      </c>
      <c r="C4" s="200" t="s">
        <v>113</v>
      </c>
      <c r="D4" s="200" t="s">
        <v>109</v>
      </c>
    </row>
    <row r="5" spans="2:4" x14ac:dyDescent="0.2">
      <c r="B5" s="200" t="s">
        <v>169</v>
      </c>
      <c r="C5" s="200" t="s">
        <v>129</v>
      </c>
      <c r="D5" s="200" t="s">
        <v>111</v>
      </c>
    </row>
    <row r="6" spans="2:4" x14ac:dyDescent="0.2">
      <c r="B6" s="200" t="s">
        <v>242</v>
      </c>
      <c r="C6" s="200" t="s">
        <v>134</v>
      </c>
      <c r="D6" s="200" t="s">
        <v>114</v>
      </c>
    </row>
    <row r="7" spans="2:4" x14ac:dyDescent="0.2">
      <c r="B7" s="200" t="s">
        <v>291</v>
      </c>
      <c r="C7" s="200" t="s">
        <v>149</v>
      </c>
      <c r="D7" s="200" t="s">
        <v>117</v>
      </c>
    </row>
    <row r="8" spans="2:4" x14ac:dyDescent="0.2">
      <c r="B8" s="200" t="s">
        <v>313</v>
      </c>
      <c r="C8" s="200" t="s">
        <v>170</v>
      </c>
      <c r="D8" s="200" t="s">
        <v>119</v>
      </c>
    </row>
    <row r="9" spans="2:4" x14ac:dyDescent="0.2">
      <c r="B9" s="200" t="s">
        <v>554</v>
      </c>
      <c r="C9" s="200" t="s">
        <v>182</v>
      </c>
      <c r="D9" s="200" t="s">
        <v>121</v>
      </c>
    </row>
    <row r="10" spans="2:4" ht="13.8" x14ac:dyDescent="0.25">
      <c r="B10"/>
      <c r="C10" s="200" t="s">
        <v>220</v>
      </c>
      <c r="D10" s="200" t="s">
        <v>123</v>
      </c>
    </row>
    <row r="11" spans="2:4" ht="13.8" x14ac:dyDescent="0.25">
      <c r="B11"/>
      <c r="C11" s="200" t="s">
        <v>224</v>
      </c>
      <c r="D11" s="200" t="s">
        <v>125</v>
      </c>
    </row>
    <row r="12" spans="2:4" ht="13.8" x14ac:dyDescent="0.25">
      <c r="B12"/>
      <c r="C12" s="200" t="s">
        <v>230</v>
      </c>
      <c r="D12" s="200" t="s">
        <v>127</v>
      </c>
    </row>
    <row r="13" spans="2:4" ht="13.8" x14ac:dyDescent="0.25">
      <c r="B13"/>
      <c r="C13" s="200" t="s">
        <v>238</v>
      </c>
      <c r="D13" s="200" t="s">
        <v>130</v>
      </c>
    </row>
    <row r="14" spans="2:4" ht="13.8" x14ac:dyDescent="0.25">
      <c r="B14"/>
      <c r="C14" s="200" t="s">
        <v>243</v>
      </c>
      <c r="D14" s="200" t="s">
        <v>135</v>
      </c>
    </row>
    <row r="15" spans="2:4" ht="13.8" x14ac:dyDescent="0.25">
      <c r="B15"/>
      <c r="C15" s="200" t="s">
        <v>261</v>
      </c>
      <c r="D15" s="200" t="s">
        <v>139</v>
      </c>
    </row>
    <row r="16" spans="2:4" ht="13.8" x14ac:dyDescent="0.25">
      <c r="B16"/>
      <c r="C16" s="200" t="s">
        <v>275</v>
      </c>
      <c r="D16" s="200" t="s">
        <v>141</v>
      </c>
    </row>
    <row r="17" spans="2:4" ht="13.8" x14ac:dyDescent="0.25">
      <c r="B17"/>
      <c r="C17" s="200" t="s">
        <v>287</v>
      </c>
      <c r="D17" s="200" t="s">
        <v>143</v>
      </c>
    </row>
    <row r="18" spans="2:4" ht="13.8" x14ac:dyDescent="0.25">
      <c r="B18"/>
      <c r="C18" s="200" t="s">
        <v>292</v>
      </c>
      <c r="D18" s="200" t="s">
        <v>145</v>
      </c>
    </row>
    <row r="19" spans="2:4" ht="13.8" x14ac:dyDescent="0.25">
      <c r="B19"/>
      <c r="C19" s="200" t="s">
        <v>305</v>
      </c>
      <c r="D19" s="200" t="s">
        <v>147</v>
      </c>
    </row>
    <row r="20" spans="2:4" ht="13.8" x14ac:dyDescent="0.25">
      <c r="B20"/>
      <c r="C20" s="200" t="s">
        <v>309</v>
      </c>
      <c r="D20" s="200" t="s">
        <v>150</v>
      </c>
    </row>
    <row r="21" spans="2:4" ht="13.8" x14ac:dyDescent="0.25">
      <c r="B21"/>
      <c r="C21" s="200" t="s">
        <v>314</v>
      </c>
      <c r="D21" s="200" t="s">
        <v>153</v>
      </c>
    </row>
    <row r="22" spans="2:4" ht="13.8" x14ac:dyDescent="0.25">
      <c r="B22"/>
      <c r="C22" s="200" t="s">
        <v>555</v>
      </c>
      <c r="D22" s="200" t="s">
        <v>155</v>
      </c>
    </row>
    <row r="23" spans="2:4" ht="13.8" x14ac:dyDescent="0.25">
      <c r="B23"/>
      <c r="C23" s="200" t="s">
        <v>560</v>
      </c>
      <c r="D23" s="200" t="s">
        <v>157</v>
      </c>
    </row>
    <row r="24" spans="2:4" ht="13.8" x14ac:dyDescent="0.25">
      <c r="B24"/>
      <c r="C24" s="200" t="s">
        <v>570</v>
      </c>
      <c r="D24" s="200" t="s">
        <v>159</v>
      </c>
    </row>
    <row r="25" spans="2:4" ht="13.8" x14ac:dyDescent="0.25">
      <c r="B25"/>
      <c r="C25" s="200" t="s">
        <v>580</v>
      </c>
      <c r="D25" s="200" t="s">
        <v>161</v>
      </c>
    </row>
    <row r="26" spans="2:4" ht="13.8" x14ac:dyDescent="0.25">
      <c r="B26"/>
      <c r="C26" s="200" t="s">
        <v>582</v>
      </c>
      <c r="D26" s="200" t="s">
        <v>163</v>
      </c>
    </row>
    <row r="27" spans="2:4" ht="13.8" x14ac:dyDescent="0.25">
      <c r="B27"/>
      <c r="C27" s="200" t="s">
        <v>585</v>
      </c>
      <c r="D27" s="200" t="s">
        <v>165</v>
      </c>
    </row>
    <row r="28" spans="2:4" ht="13.8" x14ac:dyDescent="0.25">
      <c r="B28"/>
      <c r="C28" s="200" t="s">
        <v>589</v>
      </c>
      <c r="D28" s="200" t="s">
        <v>167</v>
      </c>
    </row>
    <row r="29" spans="2:4" ht="13.8" x14ac:dyDescent="0.25">
      <c r="B29"/>
      <c r="C29"/>
      <c r="D29" s="200" t="s">
        <v>171</v>
      </c>
    </row>
    <row r="30" spans="2:4" ht="13.8" x14ac:dyDescent="0.25">
      <c r="B30"/>
      <c r="C30"/>
      <c r="D30" s="200" t="s">
        <v>176</v>
      </c>
    </row>
    <row r="31" spans="2:4" ht="13.8" x14ac:dyDescent="0.25">
      <c r="B31"/>
      <c r="C31"/>
      <c r="D31" s="200" t="s">
        <v>178</v>
      </c>
    </row>
    <row r="32" spans="2:4" ht="13.8" x14ac:dyDescent="0.25">
      <c r="B32"/>
      <c r="C32"/>
      <c r="D32" s="200" t="s">
        <v>180</v>
      </c>
    </row>
    <row r="33" spans="2:4" ht="13.8" x14ac:dyDescent="0.25">
      <c r="B33"/>
      <c r="C33"/>
      <c r="D33" s="200" t="s">
        <v>183</v>
      </c>
    </row>
    <row r="34" spans="2:4" ht="13.8" x14ac:dyDescent="0.25">
      <c r="B34"/>
      <c r="C34"/>
      <c r="D34" s="200" t="s">
        <v>186</v>
      </c>
    </row>
    <row r="35" spans="2:4" ht="13.8" x14ac:dyDescent="0.25">
      <c r="B35"/>
      <c r="C35"/>
      <c r="D35" s="200" t="s">
        <v>188</v>
      </c>
    </row>
    <row r="36" spans="2:4" ht="13.8" x14ac:dyDescent="0.25">
      <c r="B36"/>
      <c r="C36"/>
      <c r="D36" s="200" t="s">
        <v>190</v>
      </c>
    </row>
    <row r="37" spans="2:4" ht="13.8" x14ac:dyDescent="0.25">
      <c r="B37"/>
      <c r="C37"/>
      <c r="D37" s="200" t="s">
        <v>192</v>
      </c>
    </row>
    <row r="38" spans="2:4" ht="13.8" x14ac:dyDescent="0.25">
      <c r="B38"/>
      <c r="C38"/>
      <c r="D38" s="200" t="s">
        <v>194</v>
      </c>
    </row>
    <row r="39" spans="2:4" ht="13.8" x14ac:dyDescent="0.25">
      <c r="B39"/>
      <c r="C39"/>
      <c r="D39" s="200" t="s">
        <v>196</v>
      </c>
    </row>
    <row r="40" spans="2:4" ht="13.8" x14ac:dyDescent="0.25">
      <c r="B40"/>
      <c r="C40"/>
      <c r="D40" s="200" t="s">
        <v>198</v>
      </c>
    </row>
    <row r="41" spans="2:4" ht="13.8" x14ac:dyDescent="0.25">
      <c r="B41"/>
      <c r="C41"/>
      <c r="D41" s="200" t="s">
        <v>200</v>
      </c>
    </row>
    <row r="42" spans="2:4" ht="13.8" x14ac:dyDescent="0.25">
      <c r="B42"/>
      <c r="C42"/>
      <c r="D42" s="200" t="s">
        <v>202</v>
      </c>
    </row>
    <row r="43" spans="2:4" ht="13.8" x14ac:dyDescent="0.25">
      <c r="B43"/>
      <c r="C43"/>
      <c r="D43" s="200" t="s">
        <v>204</v>
      </c>
    </row>
    <row r="44" spans="2:4" ht="13.8" x14ac:dyDescent="0.25">
      <c r="B44"/>
      <c r="C44"/>
      <c r="D44" s="200" t="s">
        <v>206</v>
      </c>
    </row>
    <row r="45" spans="2:4" ht="13.8" x14ac:dyDescent="0.25">
      <c r="B45"/>
      <c r="C45"/>
      <c r="D45" s="200" t="s">
        <v>208</v>
      </c>
    </row>
    <row r="46" spans="2:4" ht="13.8" x14ac:dyDescent="0.25">
      <c r="B46"/>
      <c r="C46"/>
      <c r="D46" s="200" t="s">
        <v>210</v>
      </c>
    </row>
    <row r="47" spans="2:4" ht="13.8" x14ac:dyDescent="0.25">
      <c r="B47"/>
      <c r="C47"/>
      <c r="D47" s="200" t="s">
        <v>212</v>
      </c>
    </row>
    <row r="48" spans="2:4" ht="13.8" x14ac:dyDescent="0.25">
      <c r="B48"/>
      <c r="C48"/>
      <c r="D48" s="200" t="s">
        <v>214</v>
      </c>
    </row>
    <row r="49" spans="2:4" ht="13.8" x14ac:dyDescent="0.25">
      <c r="B49"/>
      <c r="C49"/>
      <c r="D49" s="200" t="s">
        <v>216</v>
      </c>
    </row>
    <row r="50" spans="2:4" ht="13.8" x14ac:dyDescent="0.25">
      <c r="B50"/>
      <c r="C50"/>
      <c r="D50" s="200" t="s">
        <v>218</v>
      </c>
    </row>
    <row r="51" spans="2:4" ht="13.8" x14ac:dyDescent="0.25">
      <c r="B51"/>
      <c r="C51"/>
      <c r="D51" s="200" t="s">
        <v>221</v>
      </c>
    </row>
    <row r="52" spans="2:4" ht="13.8" x14ac:dyDescent="0.25">
      <c r="B52"/>
      <c r="C52"/>
      <c r="D52" s="200" t="s">
        <v>225</v>
      </c>
    </row>
    <row r="53" spans="2:4" ht="13.8" x14ac:dyDescent="0.25">
      <c r="B53"/>
      <c r="C53"/>
      <c r="D53" s="200" t="s">
        <v>228</v>
      </c>
    </row>
    <row r="54" spans="2:4" ht="13.8" x14ac:dyDescent="0.25">
      <c r="B54"/>
      <c r="C54"/>
      <c r="D54" s="200" t="s">
        <v>231</v>
      </c>
    </row>
    <row r="55" spans="2:4" ht="13.8" x14ac:dyDescent="0.25">
      <c r="B55"/>
      <c r="C55"/>
      <c r="D55" s="200" t="s">
        <v>234</v>
      </c>
    </row>
    <row r="56" spans="2:4" ht="13.8" x14ac:dyDescent="0.25">
      <c r="B56"/>
      <c r="C56"/>
      <c r="D56" s="200" t="s">
        <v>236</v>
      </c>
    </row>
    <row r="57" spans="2:4" ht="13.8" x14ac:dyDescent="0.25">
      <c r="B57"/>
      <c r="C57"/>
      <c r="D57" s="200" t="s">
        <v>239</v>
      </c>
    </row>
    <row r="58" spans="2:4" ht="13.8" x14ac:dyDescent="0.25">
      <c r="B58"/>
      <c r="C58"/>
      <c r="D58" s="200" t="s">
        <v>244</v>
      </c>
    </row>
    <row r="59" spans="2:4" ht="13.8" x14ac:dyDescent="0.25">
      <c r="B59"/>
      <c r="C59"/>
      <c r="D59" s="200" t="s">
        <v>249</v>
      </c>
    </row>
    <row r="60" spans="2:4" ht="13.8" x14ac:dyDescent="0.25">
      <c r="B60"/>
      <c r="C60"/>
      <c r="D60" s="200" t="s">
        <v>251</v>
      </c>
    </row>
    <row r="61" spans="2:4" ht="13.8" x14ac:dyDescent="0.25">
      <c r="B61"/>
      <c r="C61"/>
      <c r="D61" s="200" t="s">
        <v>253</v>
      </c>
    </row>
    <row r="62" spans="2:4" ht="13.8" x14ac:dyDescent="0.25">
      <c r="B62"/>
      <c r="C62"/>
      <c r="D62" s="200" t="s">
        <v>255</v>
      </c>
    </row>
    <row r="63" spans="2:4" ht="13.8" x14ac:dyDescent="0.25">
      <c r="B63"/>
      <c r="C63"/>
      <c r="D63" s="200" t="s">
        <v>257</v>
      </c>
    </row>
    <row r="64" spans="2:4" ht="13.8" x14ac:dyDescent="0.25">
      <c r="B64"/>
      <c r="C64"/>
      <c r="D64" s="200" t="s">
        <v>259</v>
      </c>
    </row>
    <row r="65" spans="2:4" ht="13.8" x14ac:dyDescent="0.25">
      <c r="B65"/>
      <c r="C65"/>
      <c r="D65" s="200" t="s">
        <v>262</v>
      </c>
    </row>
    <row r="66" spans="2:4" ht="13.8" x14ac:dyDescent="0.25">
      <c r="B66"/>
      <c r="C66"/>
      <c r="D66" s="200" t="s">
        <v>265</v>
      </c>
    </row>
    <row r="67" spans="2:4" ht="13.8" x14ac:dyDescent="0.25">
      <c r="B67"/>
      <c r="C67"/>
      <c r="D67" s="200" t="s">
        <v>267</v>
      </c>
    </row>
    <row r="68" spans="2:4" ht="13.8" x14ac:dyDescent="0.25">
      <c r="B68"/>
      <c r="C68"/>
      <c r="D68" s="200" t="s">
        <v>269</v>
      </c>
    </row>
    <row r="69" spans="2:4" ht="13.8" x14ac:dyDescent="0.25">
      <c r="B69"/>
      <c r="C69"/>
      <c r="D69" s="200" t="s">
        <v>271</v>
      </c>
    </row>
    <row r="70" spans="2:4" ht="13.8" x14ac:dyDescent="0.25">
      <c r="B70"/>
      <c r="C70"/>
      <c r="D70" s="200" t="s">
        <v>273</v>
      </c>
    </row>
    <row r="71" spans="2:4" ht="13.8" x14ac:dyDescent="0.25">
      <c r="B71"/>
      <c r="C71"/>
      <c r="D71" s="200" t="s">
        <v>276</v>
      </c>
    </row>
    <row r="72" spans="2:4" ht="13.8" x14ac:dyDescent="0.25">
      <c r="B72"/>
      <c r="C72"/>
      <c r="D72" s="200" t="s">
        <v>279</v>
      </c>
    </row>
    <row r="73" spans="2:4" ht="13.8" x14ac:dyDescent="0.25">
      <c r="B73"/>
      <c r="C73"/>
      <c r="D73" s="200" t="s">
        <v>281</v>
      </c>
    </row>
    <row r="74" spans="2:4" ht="13.8" x14ac:dyDescent="0.25">
      <c r="B74"/>
      <c r="C74"/>
      <c r="D74" s="200" t="s">
        <v>283</v>
      </c>
    </row>
    <row r="75" spans="2:4" ht="13.8" x14ac:dyDescent="0.25">
      <c r="B75"/>
      <c r="C75"/>
      <c r="D75" s="200" t="s">
        <v>285</v>
      </c>
    </row>
    <row r="76" spans="2:4" ht="13.8" x14ac:dyDescent="0.25">
      <c r="B76"/>
      <c r="C76"/>
      <c r="D76" s="200" t="s">
        <v>288</v>
      </c>
    </row>
    <row r="77" spans="2:4" ht="13.8" x14ac:dyDescent="0.25">
      <c r="B77"/>
      <c r="C77"/>
      <c r="D77" s="200" t="s">
        <v>293</v>
      </c>
    </row>
    <row r="78" spans="2:4" ht="13.8" x14ac:dyDescent="0.25">
      <c r="B78"/>
      <c r="C78"/>
      <c r="D78" s="200" t="s">
        <v>297</v>
      </c>
    </row>
    <row r="79" spans="2:4" ht="13.8" x14ac:dyDescent="0.25">
      <c r="B79"/>
      <c r="C79"/>
      <c r="D79" s="200" t="s">
        <v>299</v>
      </c>
    </row>
    <row r="80" spans="2:4" ht="13.8" x14ac:dyDescent="0.25">
      <c r="B80"/>
      <c r="C80"/>
      <c r="D80" s="200" t="s">
        <v>301</v>
      </c>
    </row>
    <row r="81" spans="2:4" ht="13.8" x14ac:dyDescent="0.25">
      <c r="B81"/>
      <c r="C81"/>
      <c r="D81" s="200" t="s">
        <v>303</v>
      </c>
    </row>
    <row r="82" spans="2:4" ht="13.8" x14ac:dyDescent="0.25">
      <c r="B82"/>
      <c r="C82"/>
      <c r="D82" s="200" t="s">
        <v>306</v>
      </c>
    </row>
    <row r="83" spans="2:4" ht="13.8" x14ac:dyDescent="0.25">
      <c r="B83"/>
      <c r="C83"/>
      <c r="D83" s="200" t="s">
        <v>310</v>
      </c>
    </row>
    <row r="84" spans="2:4" ht="13.8" x14ac:dyDescent="0.25">
      <c r="B84"/>
      <c r="C84"/>
      <c r="D84" s="200" t="s">
        <v>315</v>
      </c>
    </row>
    <row r="85" spans="2:4" ht="13.8" x14ac:dyDescent="0.25">
      <c r="B85"/>
      <c r="C85"/>
      <c r="D85" s="200" t="s">
        <v>319</v>
      </c>
    </row>
    <row r="86" spans="2:4" ht="13.8" x14ac:dyDescent="0.25">
      <c r="B86"/>
      <c r="C86"/>
      <c r="D86" s="200" t="s">
        <v>321</v>
      </c>
    </row>
    <row r="87" spans="2:4" ht="13.8" x14ac:dyDescent="0.25">
      <c r="B87"/>
      <c r="C87"/>
      <c r="D87" s="200" t="s">
        <v>323</v>
      </c>
    </row>
    <row r="88" spans="2:4" ht="13.8" x14ac:dyDescent="0.25">
      <c r="B88"/>
      <c r="C88"/>
      <c r="D88" s="200" t="s">
        <v>325</v>
      </c>
    </row>
    <row r="89" spans="2:4" ht="13.8" x14ac:dyDescent="0.25">
      <c r="B89"/>
      <c r="C89"/>
      <c r="D89" s="200" t="s">
        <v>327</v>
      </c>
    </row>
    <row r="90" spans="2:4" ht="13.8" x14ac:dyDescent="0.25">
      <c r="B90"/>
      <c r="C90"/>
      <c r="D90" s="200" t="s">
        <v>556</v>
      </c>
    </row>
    <row r="91" spans="2:4" ht="13.8" x14ac:dyDescent="0.25">
      <c r="B91"/>
      <c r="C91"/>
      <c r="D91" s="200" t="s">
        <v>557</v>
      </c>
    </row>
    <row r="92" spans="2:4" ht="13.8" x14ac:dyDescent="0.25">
      <c r="B92"/>
      <c r="C92"/>
      <c r="D92" s="200" t="s">
        <v>558</v>
      </c>
    </row>
    <row r="93" spans="2:4" ht="13.8" x14ac:dyDescent="0.25">
      <c r="B93"/>
      <c r="C93"/>
      <c r="D93" s="200" t="s">
        <v>559</v>
      </c>
    </row>
    <row r="94" spans="2:4" ht="13.8" x14ac:dyDescent="0.25">
      <c r="B94"/>
      <c r="C94"/>
      <c r="D94" s="200" t="s">
        <v>561</v>
      </c>
    </row>
    <row r="95" spans="2:4" ht="13.8" x14ac:dyDescent="0.25">
      <c r="B95"/>
      <c r="C95"/>
      <c r="D95" s="200" t="s">
        <v>562</v>
      </c>
    </row>
    <row r="96" spans="2:4" ht="13.8" x14ac:dyDescent="0.25">
      <c r="B96"/>
      <c r="C96"/>
      <c r="D96" s="200" t="s">
        <v>563</v>
      </c>
    </row>
    <row r="97" spans="2:4" ht="13.8" x14ac:dyDescent="0.25">
      <c r="B97"/>
      <c r="C97"/>
      <c r="D97" s="200" t="s">
        <v>564</v>
      </c>
    </row>
    <row r="98" spans="2:4" ht="13.8" x14ac:dyDescent="0.25">
      <c r="B98"/>
      <c r="C98"/>
      <c r="D98" s="200" t="s">
        <v>565</v>
      </c>
    </row>
    <row r="99" spans="2:4" ht="13.8" x14ac:dyDescent="0.25">
      <c r="B99"/>
      <c r="C99"/>
      <c r="D99" s="200" t="s">
        <v>566</v>
      </c>
    </row>
    <row r="100" spans="2:4" ht="13.8" x14ac:dyDescent="0.25">
      <c r="B100"/>
      <c r="C100"/>
      <c r="D100" s="200" t="s">
        <v>567</v>
      </c>
    </row>
    <row r="101" spans="2:4" ht="13.8" x14ac:dyDescent="0.25">
      <c r="B101"/>
      <c r="C101"/>
      <c r="D101" s="200" t="s">
        <v>568</v>
      </c>
    </row>
    <row r="102" spans="2:4" ht="13.8" x14ac:dyDescent="0.25">
      <c r="B102"/>
      <c r="C102"/>
      <c r="D102" s="200" t="s">
        <v>569</v>
      </c>
    </row>
    <row r="103" spans="2:4" ht="13.8" x14ac:dyDescent="0.25">
      <c r="B103"/>
      <c r="C103"/>
      <c r="D103" s="200" t="s">
        <v>571</v>
      </c>
    </row>
    <row r="104" spans="2:4" ht="13.8" x14ac:dyDescent="0.25">
      <c r="B104"/>
      <c r="C104"/>
      <c r="D104" s="200" t="s">
        <v>572</v>
      </c>
    </row>
    <row r="105" spans="2:4" ht="13.8" x14ac:dyDescent="0.25">
      <c r="B105"/>
      <c r="C105"/>
      <c r="D105" s="200" t="s">
        <v>573</v>
      </c>
    </row>
    <row r="106" spans="2:4" ht="13.8" x14ac:dyDescent="0.25">
      <c r="B106"/>
      <c r="C106"/>
      <c r="D106" s="200" t="s">
        <v>574</v>
      </c>
    </row>
    <row r="107" spans="2:4" ht="13.8" x14ac:dyDescent="0.25">
      <c r="B107"/>
      <c r="C107"/>
      <c r="D107" s="200" t="s">
        <v>575</v>
      </c>
    </row>
    <row r="108" spans="2:4" ht="13.8" x14ac:dyDescent="0.25">
      <c r="B108"/>
      <c r="C108"/>
      <c r="D108" s="200" t="s">
        <v>576</v>
      </c>
    </row>
    <row r="109" spans="2:4" ht="13.8" x14ac:dyDescent="0.25">
      <c r="B109"/>
      <c r="C109"/>
      <c r="D109" s="200" t="s">
        <v>577</v>
      </c>
    </row>
    <row r="110" spans="2:4" ht="13.8" x14ac:dyDescent="0.25">
      <c r="B110"/>
      <c r="C110"/>
      <c r="D110" s="200" t="s">
        <v>578</v>
      </c>
    </row>
    <row r="111" spans="2:4" ht="13.8" x14ac:dyDescent="0.25">
      <c r="B111"/>
      <c r="C111"/>
      <c r="D111" s="200" t="s">
        <v>579</v>
      </c>
    </row>
    <row r="112" spans="2:4" ht="13.8" x14ac:dyDescent="0.25">
      <c r="B112"/>
      <c r="C112"/>
      <c r="D112" s="200" t="s">
        <v>581</v>
      </c>
    </row>
    <row r="113" spans="2:4" ht="13.8" x14ac:dyDescent="0.25">
      <c r="B113"/>
      <c r="C113"/>
      <c r="D113" s="200" t="s">
        <v>583</v>
      </c>
    </row>
    <row r="114" spans="2:4" ht="13.8" x14ac:dyDescent="0.25">
      <c r="B114"/>
      <c r="C114"/>
      <c r="D114" s="200" t="s">
        <v>584</v>
      </c>
    </row>
    <row r="115" spans="2:4" ht="13.8" x14ac:dyDescent="0.25">
      <c r="B115"/>
      <c r="C115"/>
      <c r="D115" s="200" t="s">
        <v>586</v>
      </c>
    </row>
    <row r="116" spans="2:4" ht="13.8" x14ac:dyDescent="0.25">
      <c r="B116"/>
      <c r="C116"/>
      <c r="D116" s="200" t="s">
        <v>587</v>
      </c>
    </row>
    <row r="117" spans="2:4" ht="13.8" x14ac:dyDescent="0.25">
      <c r="B117"/>
      <c r="C117"/>
      <c r="D117" s="200" t="s">
        <v>588</v>
      </c>
    </row>
    <row r="118" spans="2:4" ht="13.8" x14ac:dyDescent="0.25">
      <c r="B118"/>
      <c r="C118"/>
      <c r="D118" s="200" t="s">
        <v>590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2"/>
  <sheetViews>
    <sheetView showGridLines="0" view="pageBreakPreview" zoomScale="35" zoomScaleNormal="51" zoomScaleSheetLayoutView="35" workbookViewId="0">
      <selection activeCell="I10" sqref="I10"/>
    </sheetView>
  </sheetViews>
  <sheetFormatPr defaultColWidth="9.19921875" defaultRowHeight="24.6" x14ac:dyDescent="0.25"/>
  <cols>
    <col min="1" max="2" width="4.69921875" style="10" customWidth="1"/>
    <col min="3" max="3" width="6.69921875" style="10" customWidth="1"/>
    <col min="4" max="4" width="30.19921875" style="107" customWidth="1"/>
    <col min="5" max="5" width="55.19921875" style="10" customWidth="1"/>
    <col min="6" max="6" width="14.3984375" style="10" customWidth="1"/>
    <col min="7" max="9" width="20.3984375" style="10" customWidth="1"/>
    <col min="10" max="10" width="27.69921875" style="108" customWidth="1"/>
    <col min="11" max="11" width="23.69921875" style="108" customWidth="1"/>
    <col min="12" max="12" width="22.69921875" style="108" customWidth="1"/>
    <col min="13" max="13" width="20" style="108" customWidth="1"/>
    <col min="14" max="14" width="27.69921875" style="108" customWidth="1"/>
    <col min="15" max="15" width="52.3984375" style="10" customWidth="1"/>
    <col min="16" max="16" width="14.3984375" style="108" customWidth="1"/>
    <col min="17" max="17" width="27.69921875" style="108" customWidth="1"/>
    <col min="18" max="18" width="28.3984375" style="108" customWidth="1"/>
    <col min="19" max="19" width="1.69921875" style="10" customWidth="1"/>
    <col min="20" max="20" width="35.19921875" style="10" customWidth="1"/>
    <col min="21" max="22" width="18.19921875" style="10" hidden="1" customWidth="1"/>
    <col min="23" max="23" width="36.69921875" style="10" bestFit="1" customWidth="1"/>
    <col min="24" max="24" width="40.69921875" style="10" customWidth="1"/>
    <col min="25" max="25" width="42.69921875" style="10" customWidth="1"/>
    <col min="26" max="26" width="25.69921875" style="10" customWidth="1"/>
    <col min="27" max="27" width="20.19921875" style="10" customWidth="1"/>
    <col min="28" max="28" width="53.19921875" style="10" customWidth="1"/>
    <col min="29" max="29" width="20.19921875" style="10" customWidth="1"/>
    <col min="30" max="30" width="18.3984375" style="10" customWidth="1"/>
    <col min="31" max="31" width="49" style="10" customWidth="1"/>
    <col min="32" max="32" width="62.59765625" style="10" customWidth="1"/>
    <col min="33" max="16384" width="9.19921875" style="10"/>
  </cols>
  <sheetData>
    <row r="1" spans="1:32" s="5" customFormat="1" ht="29.4" x14ac:dyDescent="0.45">
      <c r="A1" s="1" t="s">
        <v>329</v>
      </c>
      <c r="B1" s="2"/>
      <c r="C1" s="3"/>
      <c r="D1" s="4"/>
      <c r="J1" s="6"/>
      <c r="K1" s="6"/>
      <c r="L1" s="6"/>
      <c r="M1" s="6"/>
      <c r="N1" s="6"/>
      <c r="P1" s="6"/>
      <c r="Q1" s="6"/>
      <c r="R1" s="6"/>
    </row>
    <row r="2" spans="1:32" s="5" customFormat="1" ht="30" thickBot="1" x14ac:dyDescent="0.5">
      <c r="A2" s="1" t="s">
        <v>330</v>
      </c>
      <c r="B2" s="2"/>
      <c r="C2" s="3"/>
      <c r="D2" s="4"/>
      <c r="J2" s="6"/>
      <c r="K2" s="6"/>
      <c r="L2" s="6"/>
      <c r="M2" s="6"/>
      <c r="N2" s="6"/>
      <c r="P2" s="6"/>
      <c r="Q2" s="6"/>
      <c r="R2" s="6"/>
    </row>
    <row r="3" spans="1:32" ht="25.2" thickBot="1" x14ac:dyDescent="0.3">
      <c r="A3" s="270" t="s">
        <v>331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7"/>
      <c r="Q3" s="8"/>
      <c r="R3" s="8"/>
      <c r="S3" s="9"/>
      <c r="T3" s="9"/>
      <c r="U3" s="9"/>
      <c r="V3" s="9"/>
      <c r="W3" s="272" t="s">
        <v>332</v>
      </c>
      <c r="X3" s="273"/>
      <c r="Y3" s="273"/>
      <c r="Z3" s="274"/>
      <c r="AA3" s="275" t="s">
        <v>333</v>
      </c>
      <c r="AB3" s="275"/>
      <c r="AC3" s="276" t="s">
        <v>334</v>
      </c>
      <c r="AD3" s="277"/>
    </row>
    <row r="4" spans="1:32" s="29" customFormat="1" ht="409.6" thickBot="1" x14ac:dyDescent="0.3">
      <c r="A4" s="11" t="s">
        <v>335</v>
      </c>
      <c r="B4" s="12" t="s">
        <v>336</v>
      </c>
      <c r="C4" s="12" t="s">
        <v>337</v>
      </c>
      <c r="D4" s="13" t="s">
        <v>338</v>
      </c>
      <c r="E4" s="12" t="s">
        <v>339</v>
      </c>
      <c r="F4" s="12" t="s">
        <v>340</v>
      </c>
      <c r="G4" s="14" t="s">
        <v>341</v>
      </c>
      <c r="H4" s="14" t="s">
        <v>342</v>
      </c>
      <c r="I4" s="14" t="s">
        <v>343</v>
      </c>
      <c r="J4" s="15" t="s">
        <v>344</v>
      </c>
      <c r="K4" s="16" t="s">
        <v>345</v>
      </c>
      <c r="L4" s="17" t="s">
        <v>346</v>
      </c>
      <c r="M4" s="18" t="s">
        <v>347</v>
      </c>
      <c r="N4" s="17" t="s">
        <v>348</v>
      </c>
      <c r="O4" s="16" t="s">
        <v>349</v>
      </c>
      <c r="P4" s="16" t="s">
        <v>350</v>
      </c>
      <c r="Q4" s="18" t="s">
        <v>351</v>
      </c>
      <c r="R4" s="19" t="s">
        <v>352</v>
      </c>
      <c r="S4" s="20" t="s">
        <v>353</v>
      </c>
      <c r="T4" s="21" t="s">
        <v>354</v>
      </c>
      <c r="U4" s="21" t="s">
        <v>355</v>
      </c>
      <c r="V4" s="21" t="s">
        <v>356</v>
      </c>
      <c r="W4" s="22" t="s">
        <v>357</v>
      </c>
      <c r="X4" s="23" t="s">
        <v>358</v>
      </c>
      <c r="Y4" s="23" t="s">
        <v>29</v>
      </c>
      <c r="Z4" s="24" t="s">
        <v>359</v>
      </c>
      <c r="AA4" s="25" t="s">
        <v>360</v>
      </c>
      <c r="AB4" s="26" t="s">
        <v>361</v>
      </c>
      <c r="AC4" s="27" t="s">
        <v>362</v>
      </c>
      <c r="AD4" s="28" t="s">
        <v>363</v>
      </c>
    </row>
    <row r="5" spans="1:32" x14ac:dyDescent="0.25">
      <c r="A5" s="30" t="s">
        <v>364</v>
      </c>
      <c r="B5" s="31" t="s">
        <v>365</v>
      </c>
      <c r="C5" s="32">
        <v>101046300</v>
      </c>
      <c r="D5" s="33" t="s">
        <v>366</v>
      </c>
      <c r="E5" s="34" t="s">
        <v>367</v>
      </c>
      <c r="F5" s="35">
        <v>25</v>
      </c>
      <c r="G5" s="36">
        <v>19.399999999999999</v>
      </c>
      <c r="H5" s="37">
        <f t="shared" ref="H5:H31" si="0">G5*1.07</f>
        <v>20.757999999999999</v>
      </c>
      <c r="I5" s="37">
        <v>23</v>
      </c>
      <c r="J5" s="38">
        <v>22.5</v>
      </c>
      <c r="K5" s="39">
        <f t="shared" ref="K5:K14" si="1">SUM(J5-H5)/J5</f>
        <v>7.7422222222222267E-2</v>
      </c>
      <c r="L5" s="40">
        <v>22</v>
      </c>
      <c r="M5" s="41">
        <f t="shared" ref="M5:M13" si="2">SUM(L5-H5)/L5</f>
        <v>5.6454545454545493E-2</v>
      </c>
      <c r="N5" s="42">
        <f>((L5/1.07)-G5)*Q5</f>
        <v>145.09345794392513</v>
      </c>
      <c r="O5" s="43"/>
      <c r="P5" s="44">
        <v>5</v>
      </c>
      <c r="Q5" s="45">
        <f t="shared" ref="Q5:Q31" si="3">P5*F5</f>
        <v>125</v>
      </c>
      <c r="R5" s="46">
        <f>Q5*L5</f>
        <v>2750</v>
      </c>
      <c r="S5" s="47"/>
      <c r="T5" s="47" t="s">
        <v>368</v>
      </c>
      <c r="U5" s="47"/>
      <c r="V5" s="48"/>
      <c r="W5" s="49" t="s">
        <v>369</v>
      </c>
      <c r="X5" s="50" t="s">
        <v>370</v>
      </c>
      <c r="Y5" s="51" t="s">
        <v>371</v>
      </c>
      <c r="Z5" s="52" t="s">
        <v>372</v>
      </c>
      <c r="AA5" s="53">
        <v>22</v>
      </c>
      <c r="AB5" s="54"/>
      <c r="AC5" s="55"/>
      <c r="AD5" s="55"/>
      <c r="AE5" s="56"/>
      <c r="AF5" s="56"/>
    </row>
    <row r="6" spans="1:32" x14ac:dyDescent="0.25">
      <c r="A6" s="30" t="s">
        <v>364</v>
      </c>
      <c r="B6" s="31" t="s">
        <v>365</v>
      </c>
      <c r="C6" s="32">
        <v>102203276</v>
      </c>
      <c r="D6" s="33" t="s">
        <v>373</v>
      </c>
      <c r="E6" s="34" t="s">
        <v>374</v>
      </c>
      <c r="F6" s="35">
        <v>12</v>
      </c>
      <c r="G6" s="36">
        <v>22.2</v>
      </c>
      <c r="H6" s="37">
        <f t="shared" si="0"/>
        <v>23.754000000000001</v>
      </c>
      <c r="I6" s="37">
        <v>26</v>
      </c>
      <c r="J6" s="38">
        <v>24</v>
      </c>
      <c r="K6" s="39">
        <f t="shared" si="1"/>
        <v>1.0249999999999945E-2</v>
      </c>
      <c r="L6" s="40">
        <v>24</v>
      </c>
      <c r="M6" s="41">
        <f t="shared" si="2"/>
        <v>1.0249999999999945E-2</v>
      </c>
      <c r="N6" s="42">
        <f>((L6/1.07)-G6)*Q6</f>
        <v>27.58878504672893</v>
      </c>
      <c r="O6" s="43"/>
      <c r="P6" s="44">
        <v>10</v>
      </c>
      <c r="Q6" s="45">
        <f t="shared" si="3"/>
        <v>120</v>
      </c>
      <c r="R6" s="46">
        <f t="shared" ref="R6:R11" si="4">Q6*L6</f>
        <v>2880</v>
      </c>
      <c r="S6" s="47"/>
      <c r="T6" s="47" t="s">
        <v>368</v>
      </c>
      <c r="U6" s="47"/>
      <c r="V6" s="48"/>
      <c r="W6" s="49" t="s">
        <v>369</v>
      </c>
      <c r="X6" s="50" t="s">
        <v>370</v>
      </c>
      <c r="Y6" s="51" t="s">
        <v>371</v>
      </c>
      <c r="Z6" s="52" t="s">
        <v>372</v>
      </c>
      <c r="AA6" s="53">
        <v>24</v>
      </c>
      <c r="AB6" s="54"/>
      <c r="AC6" s="55"/>
      <c r="AD6" s="55"/>
      <c r="AE6" s="56"/>
      <c r="AF6" s="56"/>
    </row>
    <row r="7" spans="1:32" x14ac:dyDescent="0.25">
      <c r="A7" s="30" t="s">
        <v>364</v>
      </c>
      <c r="B7" s="31" t="s">
        <v>365</v>
      </c>
      <c r="C7" s="32"/>
      <c r="D7" s="57" t="s">
        <v>375</v>
      </c>
      <c r="E7" s="58" t="s">
        <v>376</v>
      </c>
      <c r="F7" s="35">
        <v>4</v>
      </c>
      <c r="G7" s="36">
        <v>35.75</v>
      </c>
      <c r="H7" s="37">
        <f t="shared" si="0"/>
        <v>38.252500000000005</v>
      </c>
      <c r="I7" s="37">
        <v>39.5</v>
      </c>
      <c r="J7" s="38">
        <v>39</v>
      </c>
      <c r="K7" s="39">
        <f t="shared" si="1"/>
        <v>1.9166666666666544E-2</v>
      </c>
      <c r="L7" s="40">
        <v>34</v>
      </c>
      <c r="M7" s="41">
        <f t="shared" si="2"/>
        <v>-0.12507352941176486</v>
      </c>
      <c r="N7" s="42">
        <f t="shared" ref="N7:N31" si="5">((L7/1.07)-G7)*Q7</f>
        <v>-238.45794392523379</v>
      </c>
      <c r="O7" s="43" t="s">
        <v>377</v>
      </c>
      <c r="P7" s="44">
        <v>15</v>
      </c>
      <c r="Q7" s="45">
        <f t="shared" si="3"/>
        <v>60</v>
      </c>
      <c r="R7" s="46">
        <f t="shared" si="4"/>
        <v>2040</v>
      </c>
      <c r="S7" s="47"/>
      <c r="T7" s="47" t="s">
        <v>368</v>
      </c>
      <c r="U7" s="47"/>
      <c r="V7" s="48"/>
      <c r="W7" s="49" t="s">
        <v>369</v>
      </c>
      <c r="X7" s="50" t="s">
        <v>370</v>
      </c>
      <c r="Y7" s="51" t="s">
        <v>371</v>
      </c>
      <c r="Z7" s="52" t="s">
        <v>372</v>
      </c>
      <c r="AA7" s="53">
        <v>39</v>
      </c>
      <c r="AB7" s="59" t="s">
        <v>378</v>
      </c>
      <c r="AC7" s="55"/>
      <c r="AD7" s="55"/>
      <c r="AE7" s="56"/>
      <c r="AF7" s="56"/>
    </row>
    <row r="8" spans="1:32" x14ac:dyDescent="0.25">
      <c r="A8" s="30" t="s">
        <v>364</v>
      </c>
      <c r="B8" s="31" t="s">
        <v>365</v>
      </c>
      <c r="C8" s="32">
        <v>102509217</v>
      </c>
      <c r="D8" s="33" t="s">
        <v>379</v>
      </c>
      <c r="E8" s="34" t="s">
        <v>380</v>
      </c>
      <c r="F8" s="35">
        <v>6</v>
      </c>
      <c r="G8" s="36">
        <v>146.97</v>
      </c>
      <c r="H8" s="37">
        <f t="shared" si="0"/>
        <v>157.25790000000001</v>
      </c>
      <c r="I8" s="37">
        <v>165</v>
      </c>
      <c r="J8" s="38">
        <v>110</v>
      </c>
      <c r="K8" s="39">
        <f t="shared" si="1"/>
        <v>-0.42961727272727279</v>
      </c>
      <c r="L8" s="40">
        <v>110</v>
      </c>
      <c r="M8" s="41">
        <f t="shared" si="2"/>
        <v>-0.42961727272727279</v>
      </c>
      <c r="N8" s="42">
        <f t="shared" si="5"/>
        <v>-529.99514018691593</v>
      </c>
      <c r="O8" s="278" t="s">
        <v>381</v>
      </c>
      <c r="P8" s="44">
        <v>2</v>
      </c>
      <c r="Q8" s="45">
        <f t="shared" si="3"/>
        <v>12</v>
      </c>
      <c r="R8" s="46">
        <f t="shared" si="4"/>
        <v>1320</v>
      </c>
      <c r="S8" s="47"/>
      <c r="T8" s="47" t="s">
        <v>368</v>
      </c>
      <c r="U8" s="47"/>
      <c r="V8" s="48"/>
      <c r="W8" s="49" t="s">
        <v>369</v>
      </c>
      <c r="X8" s="50" t="s">
        <v>370</v>
      </c>
      <c r="Y8" s="51" t="s">
        <v>371</v>
      </c>
      <c r="Z8" s="52" t="s">
        <v>372</v>
      </c>
      <c r="AA8" s="53">
        <v>165</v>
      </c>
      <c r="AB8" s="278" t="s">
        <v>382</v>
      </c>
      <c r="AC8" s="55"/>
      <c r="AD8" s="55"/>
      <c r="AE8" s="56"/>
      <c r="AF8" s="56"/>
    </row>
    <row r="9" spans="1:32" x14ac:dyDescent="0.25">
      <c r="A9" s="30" t="s">
        <v>364</v>
      </c>
      <c r="B9" s="31" t="s">
        <v>365</v>
      </c>
      <c r="C9" s="32">
        <v>102509215</v>
      </c>
      <c r="D9" s="33" t="s">
        <v>383</v>
      </c>
      <c r="E9" s="34" t="s">
        <v>384</v>
      </c>
      <c r="F9" s="35">
        <v>6</v>
      </c>
      <c r="G9" s="36">
        <v>146.97</v>
      </c>
      <c r="H9" s="37">
        <f t="shared" si="0"/>
        <v>157.25790000000001</v>
      </c>
      <c r="I9" s="37">
        <v>165</v>
      </c>
      <c r="J9" s="38">
        <v>110</v>
      </c>
      <c r="K9" s="39">
        <f t="shared" si="1"/>
        <v>-0.42961727272727279</v>
      </c>
      <c r="L9" s="40">
        <v>110</v>
      </c>
      <c r="M9" s="41">
        <f t="shared" si="2"/>
        <v>-0.42961727272727279</v>
      </c>
      <c r="N9" s="42">
        <f t="shared" si="5"/>
        <v>-529.99514018691593</v>
      </c>
      <c r="O9" s="279"/>
      <c r="P9" s="44">
        <v>2</v>
      </c>
      <c r="Q9" s="45">
        <f t="shared" si="3"/>
        <v>12</v>
      </c>
      <c r="R9" s="46">
        <f t="shared" si="4"/>
        <v>1320</v>
      </c>
      <c r="S9" s="47"/>
      <c r="T9" s="47" t="s">
        <v>368</v>
      </c>
      <c r="U9" s="47"/>
      <c r="V9" s="48"/>
      <c r="W9" s="49" t="s">
        <v>369</v>
      </c>
      <c r="X9" s="50" t="s">
        <v>370</v>
      </c>
      <c r="Y9" s="51" t="s">
        <v>371</v>
      </c>
      <c r="Z9" s="52" t="s">
        <v>372</v>
      </c>
      <c r="AA9" s="53">
        <v>165</v>
      </c>
      <c r="AB9" s="279"/>
      <c r="AC9" s="55"/>
      <c r="AD9" s="55"/>
      <c r="AE9" s="56"/>
      <c r="AF9" s="56"/>
    </row>
    <row r="10" spans="1:32" x14ac:dyDescent="0.25">
      <c r="A10" s="30" t="s">
        <v>364</v>
      </c>
      <c r="B10" s="31" t="s">
        <v>365</v>
      </c>
      <c r="C10" s="32">
        <v>102509216</v>
      </c>
      <c r="D10" s="33" t="s">
        <v>385</v>
      </c>
      <c r="E10" s="34" t="s">
        <v>386</v>
      </c>
      <c r="F10" s="35">
        <v>6</v>
      </c>
      <c r="G10" s="36">
        <v>146.97</v>
      </c>
      <c r="H10" s="37">
        <f t="shared" si="0"/>
        <v>157.25790000000001</v>
      </c>
      <c r="I10" s="37">
        <v>165</v>
      </c>
      <c r="J10" s="38">
        <v>110</v>
      </c>
      <c r="K10" s="39">
        <f t="shared" si="1"/>
        <v>-0.42961727272727279</v>
      </c>
      <c r="L10" s="40">
        <v>110</v>
      </c>
      <c r="M10" s="41">
        <f t="shared" si="2"/>
        <v>-0.42961727272727279</v>
      </c>
      <c r="N10" s="42">
        <f t="shared" si="5"/>
        <v>-529.99514018691593</v>
      </c>
      <c r="O10" s="279"/>
      <c r="P10" s="44">
        <v>2</v>
      </c>
      <c r="Q10" s="45">
        <f t="shared" si="3"/>
        <v>12</v>
      </c>
      <c r="R10" s="46">
        <f t="shared" si="4"/>
        <v>1320</v>
      </c>
      <c r="S10" s="47"/>
      <c r="T10" s="47" t="s">
        <v>368</v>
      </c>
      <c r="U10" s="47"/>
      <c r="V10" s="48"/>
      <c r="W10" s="49" t="s">
        <v>369</v>
      </c>
      <c r="X10" s="50" t="s">
        <v>370</v>
      </c>
      <c r="Y10" s="51" t="s">
        <v>371</v>
      </c>
      <c r="Z10" s="52" t="s">
        <v>372</v>
      </c>
      <c r="AA10" s="53">
        <v>165</v>
      </c>
      <c r="AB10" s="279"/>
      <c r="AC10" s="55"/>
      <c r="AD10" s="55"/>
      <c r="AE10" s="56"/>
      <c r="AF10" s="56"/>
    </row>
    <row r="11" spans="1:32" x14ac:dyDescent="0.25">
      <c r="A11" s="30" t="s">
        <v>364</v>
      </c>
      <c r="B11" s="31" t="s">
        <v>365</v>
      </c>
      <c r="C11" s="32">
        <v>102509218</v>
      </c>
      <c r="D11" s="33" t="s">
        <v>387</v>
      </c>
      <c r="E11" s="34" t="s">
        <v>388</v>
      </c>
      <c r="F11" s="35">
        <v>6</v>
      </c>
      <c r="G11" s="36">
        <v>146.97</v>
      </c>
      <c r="H11" s="37">
        <f t="shared" si="0"/>
        <v>157.25790000000001</v>
      </c>
      <c r="I11" s="37">
        <v>165</v>
      </c>
      <c r="J11" s="38">
        <v>110</v>
      </c>
      <c r="K11" s="39">
        <f t="shared" si="1"/>
        <v>-0.42961727272727279</v>
      </c>
      <c r="L11" s="40">
        <v>110</v>
      </c>
      <c r="M11" s="41">
        <f t="shared" si="2"/>
        <v>-0.42961727272727279</v>
      </c>
      <c r="N11" s="42">
        <f t="shared" si="5"/>
        <v>-529.99514018691593</v>
      </c>
      <c r="O11" s="280"/>
      <c r="P11" s="44">
        <v>2</v>
      </c>
      <c r="Q11" s="45">
        <f t="shared" si="3"/>
        <v>12</v>
      </c>
      <c r="R11" s="46">
        <f t="shared" si="4"/>
        <v>1320</v>
      </c>
      <c r="S11" s="47"/>
      <c r="T11" s="47" t="s">
        <v>368</v>
      </c>
      <c r="U11" s="47"/>
      <c r="V11" s="48"/>
      <c r="W11" s="49" t="s">
        <v>369</v>
      </c>
      <c r="X11" s="50" t="s">
        <v>370</v>
      </c>
      <c r="Y11" s="51" t="s">
        <v>371</v>
      </c>
      <c r="Z11" s="52" t="s">
        <v>372</v>
      </c>
      <c r="AA11" s="53">
        <v>165</v>
      </c>
      <c r="AB11" s="280"/>
      <c r="AC11" s="55"/>
      <c r="AD11" s="55"/>
      <c r="AE11" s="56"/>
      <c r="AF11" s="56"/>
    </row>
    <row r="12" spans="1:32" x14ac:dyDescent="0.25">
      <c r="A12" s="30" t="s">
        <v>364</v>
      </c>
      <c r="B12" s="60" t="s">
        <v>365</v>
      </c>
      <c r="C12" s="32">
        <v>102173850</v>
      </c>
      <c r="D12" s="33" t="s">
        <v>389</v>
      </c>
      <c r="E12" s="32" t="s">
        <v>390</v>
      </c>
      <c r="F12" s="35">
        <v>1</v>
      </c>
      <c r="G12" s="36">
        <v>38.32</v>
      </c>
      <c r="H12" s="37">
        <f t="shared" si="0"/>
        <v>41.002400000000002</v>
      </c>
      <c r="I12" s="37">
        <v>51</v>
      </c>
      <c r="J12" s="38">
        <v>45</v>
      </c>
      <c r="K12" s="39">
        <f t="shared" si="1"/>
        <v>8.8835555555555529E-2</v>
      </c>
      <c r="L12" s="40">
        <v>43</v>
      </c>
      <c r="M12" s="41">
        <f t="shared" si="2"/>
        <v>4.6455813953488335E-2</v>
      </c>
      <c r="N12" s="42">
        <f t="shared" si="5"/>
        <v>560.07476635514024</v>
      </c>
      <c r="O12" s="278" t="s">
        <v>391</v>
      </c>
      <c r="P12" s="44">
        <v>300</v>
      </c>
      <c r="Q12" s="45">
        <f t="shared" si="3"/>
        <v>300</v>
      </c>
      <c r="R12" s="46">
        <f>Q12*L12</f>
        <v>12900</v>
      </c>
      <c r="S12" s="47"/>
      <c r="T12" s="47" t="s">
        <v>368</v>
      </c>
      <c r="U12" s="47"/>
      <c r="V12" s="48"/>
      <c r="W12" s="49" t="s">
        <v>369</v>
      </c>
      <c r="X12" s="50" t="s">
        <v>370</v>
      </c>
      <c r="Y12" s="51" t="s">
        <v>371</v>
      </c>
      <c r="Z12" s="52" t="s">
        <v>372</v>
      </c>
      <c r="AA12" s="53">
        <v>43</v>
      </c>
      <c r="AB12" s="54"/>
      <c r="AC12" s="55"/>
      <c r="AD12" s="55"/>
      <c r="AE12" s="56"/>
      <c r="AF12" s="56"/>
    </row>
    <row r="13" spans="1:32" x14ac:dyDescent="0.25">
      <c r="A13" s="30" t="s">
        <v>364</v>
      </c>
      <c r="B13" s="31" t="s">
        <v>365</v>
      </c>
      <c r="C13" s="32">
        <v>102245707</v>
      </c>
      <c r="D13" s="61" t="s">
        <v>392</v>
      </c>
      <c r="E13" s="62" t="s">
        <v>393</v>
      </c>
      <c r="F13" s="35">
        <v>1</v>
      </c>
      <c r="G13" s="36">
        <v>44.88</v>
      </c>
      <c r="H13" s="37">
        <f t="shared" si="0"/>
        <v>48.021600000000007</v>
      </c>
      <c r="I13" s="37">
        <v>51</v>
      </c>
      <c r="J13" s="63">
        <v>51</v>
      </c>
      <c r="K13" s="39">
        <f t="shared" si="1"/>
        <v>5.8399999999999876E-2</v>
      </c>
      <c r="L13" s="64">
        <v>45</v>
      </c>
      <c r="M13" s="41">
        <f t="shared" si="2"/>
        <v>-6.7146666666666813E-2</v>
      </c>
      <c r="N13" s="42">
        <f t="shared" si="5"/>
        <v>-847.17757009345928</v>
      </c>
      <c r="O13" s="280"/>
      <c r="P13" s="44">
        <v>300</v>
      </c>
      <c r="Q13" s="45">
        <f t="shared" si="3"/>
        <v>300</v>
      </c>
      <c r="R13" s="46">
        <f>Q13*L13</f>
        <v>13500</v>
      </c>
      <c r="S13" s="47"/>
      <c r="T13" s="47" t="s">
        <v>368</v>
      </c>
      <c r="U13" s="47"/>
      <c r="V13" s="48"/>
      <c r="W13" s="49" t="s">
        <v>369</v>
      </c>
      <c r="X13" s="50" t="s">
        <v>370</v>
      </c>
      <c r="Y13" s="51" t="s">
        <v>371</v>
      </c>
      <c r="Z13" s="52" t="s">
        <v>372</v>
      </c>
      <c r="AA13" s="53">
        <v>49</v>
      </c>
      <c r="AB13" s="54"/>
      <c r="AC13" s="55"/>
      <c r="AD13" s="55"/>
      <c r="AE13" s="56"/>
      <c r="AF13" s="56"/>
    </row>
    <row r="14" spans="1:32" s="56" customFormat="1" ht="49.2" x14ac:dyDescent="0.25">
      <c r="A14" s="30" t="s">
        <v>364</v>
      </c>
      <c r="B14" s="31" t="s">
        <v>365</v>
      </c>
      <c r="C14" s="32">
        <v>100614227</v>
      </c>
      <c r="D14" s="33" t="s">
        <v>394</v>
      </c>
      <c r="E14" s="32" t="s">
        <v>395</v>
      </c>
      <c r="F14" s="35">
        <v>12</v>
      </c>
      <c r="G14" s="36">
        <v>24.54</v>
      </c>
      <c r="H14" s="37">
        <f t="shared" si="0"/>
        <v>26.2578</v>
      </c>
      <c r="I14" s="37">
        <v>27.5</v>
      </c>
      <c r="J14" s="38">
        <v>27</v>
      </c>
      <c r="K14" s="39">
        <f t="shared" si="1"/>
        <v>2.7488888888888903E-2</v>
      </c>
      <c r="L14" s="40">
        <v>24</v>
      </c>
      <c r="M14" s="41">
        <f t="shared" ref="M14:M21" si="6">SUM(L14-H14)/L14</f>
        <v>-9.4074999999999978E-2</v>
      </c>
      <c r="N14" s="42">
        <f t="shared" si="5"/>
        <v>-126.60560747663553</v>
      </c>
      <c r="O14" s="43" t="s">
        <v>396</v>
      </c>
      <c r="P14" s="65">
        <v>5</v>
      </c>
      <c r="Q14" s="45">
        <f t="shared" si="3"/>
        <v>60</v>
      </c>
      <c r="R14" s="46">
        <f>Q14*L14</f>
        <v>1440</v>
      </c>
      <c r="S14" s="66"/>
      <c r="T14" s="47" t="s">
        <v>368</v>
      </c>
      <c r="U14" s="47"/>
      <c r="V14" s="48"/>
      <c r="W14" s="49" t="s">
        <v>369</v>
      </c>
      <c r="X14" s="50" t="s">
        <v>370</v>
      </c>
      <c r="Y14" s="51" t="s">
        <v>371</v>
      </c>
      <c r="Z14" s="52" t="s">
        <v>372</v>
      </c>
      <c r="AA14" s="53">
        <v>27</v>
      </c>
      <c r="AB14" s="59" t="s">
        <v>397</v>
      </c>
      <c r="AC14" s="67"/>
      <c r="AD14" s="67"/>
    </row>
    <row r="15" spans="1:32" s="56" customFormat="1" ht="73.8" x14ac:dyDescent="0.25">
      <c r="A15" s="30" t="s">
        <v>364</v>
      </c>
      <c r="B15" s="31" t="s">
        <v>365</v>
      </c>
      <c r="C15" s="32">
        <v>100507622</v>
      </c>
      <c r="D15" s="33" t="s">
        <v>398</v>
      </c>
      <c r="E15" s="32" t="s">
        <v>399</v>
      </c>
      <c r="F15" s="35">
        <v>12</v>
      </c>
      <c r="G15" s="36">
        <v>37.979999999999997</v>
      </c>
      <c r="H15" s="37">
        <f t="shared" si="0"/>
        <v>40.638599999999997</v>
      </c>
      <c r="I15" s="37">
        <v>43</v>
      </c>
      <c r="J15" s="38">
        <v>42</v>
      </c>
      <c r="K15" s="39">
        <f t="shared" ref="K15:K21" si="7">SUM(J15-H15)/J15</f>
        <v>3.2414285714285791E-2</v>
      </c>
      <c r="L15" s="40">
        <v>40.5</v>
      </c>
      <c r="M15" s="41">
        <f t="shared" si="6"/>
        <v>-3.4222222222221412E-3</v>
      </c>
      <c r="N15" s="42">
        <f t="shared" si="5"/>
        <v>-15.5439252336447</v>
      </c>
      <c r="O15" s="43" t="s">
        <v>400</v>
      </c>
      <c r="P15" s="65">
        <v>10</v>
      </c>
      <c r="Q15" s="45">
        <f t="shared" si="3"/>
        <v>120</v>
      </c>
      <c r="R15" s="46">
        <f t="shared" ref="R15:R31" si="8">Q15*L15</f>
        <v>4860</v>
      </c>
      <c r="S15" s="66"/>
      <c r="T15" s="47" t="s">
        <v>368</v>
      </c>
      <c r="U15" s="47"/>
      <c r="V15" s="48"/>
      <c r="W15" s="49" t="s">
        <v>369</v>
      </c>
      <c r="X15" s="50" t="s">
        <v>370</v>
      </c>
      <c r="Y15" s="51" t="s">
        <v>371</v>
      </c>
      <c r="Z15" s="52" t="s">
        <v>372</v>
      </c>
      <c r="AA15" s="53">
        <v>42</v>
      </c>
      <c r="AB15" s="43" t="s">
        <v>401</v>
      </c>
      <c r="AC15" s="67"/>
      <c r="AD15" s="67"/>
    </row>
    <row r="16" spans="1:32" x14ac:dyDescent="0.25">
      <c r="A16" s="30" t="s">
        <v>364</v>
      </c>
      <c r="B16" s="31" t="s">
        <v>365</v>
      </c>
      <c r="C16" s="32">
        <v>100996692</v>
      </c>
      <c r="D16" s="61" t="s">
        <v>402</v>
      </c>
      <c r="E16" s="62" t="s">
        <v>403</v>
      </c>
      <c r="F16" s="35">
        <v>24</v>
      </c>
      <c r="G16" s="36">
        <v>24.86</v>
      </c>
      <c r="H16" s="37">
        <f t="shared" si="0"/>
        <v>26.600200000000001</v>
      </c>
      <c r="I16" s="37">
        <v>28</v>
      </c>
      <c r="J16" s="63">
        <v>24</v>
      </c>
      <c r="K16" s="39">
        <f t="shared" si="7"/>
        <v>-0.10834166666666671</v>
      </c>
      <c r="L16" s="64">
        <v>24</v>
      </c>
      <c r="M16" s="41">
        <f t="shared" si="6"/>
        <v>-0.10834166666666671</v>
      </c>
      <c r="N16" s="42">
        <f t="shared" si="5"/>
        <v>-58.322242990654217</v>
      </c>
      <c r="O16" s="68"/>
      <c r="P16" s="44">
        <v>1</v>
      </c>
      <c r="Q16" s="45">
        <f t="shared" si="3"/>
        <v>24</v>
      </c>
      <c r="R16" s="46">
        <f t="shared" si="8"/>
        <v>576</v>
      </c>
      <c r="S16" s="47"/>
      <c r="T16" s="47" t="s">
        <v>368</v>
      </c>
      <c r="U16" s="47"/>
      <c r="V16" s="48"/>
      <c r="W16" s="49" t="s">
        <v>369</v>
      </c>
      <c r="X16" s="50" t="s">
        <v>370</v>
      </c>
      <c r="Y16" s="51" t="s">
        <v>371</v>
      </c>
      <c r="Z16" s="52" t="s">
        <v>372</v>
      </c>
      <c r="AA16" s="53">
        <v>27</v>
      </c>
      <c r="AB16" s="54"/>
      <c r="AC16" s="55"/>
      <c r="AD16" s="55"/>
      <c r="AE16" s="56"/>
      <c r="AF16" s="56"/>
    </row>
    <row r="17" spans="1:32" x14ac:dyDescent="0.25">
      <c r="A17" s="30" t="s">
        <v>364</v>
      </c>
      <c r="B17" s="31" t="s">
        <v>365</v>
      </c>
      <c r="C17" s="32">
        <v>102256576</v>
      </c>
      <c r="D17" s="61" t="s">
        <v>404</v>
      </c>
      <c r="E17" s="62" t="s">
        <v>405</v>
      </c>
      <c r="F17" s="35">
        <v>12</v>
      </c>
      <c r="G17" s="36">
        <v>29.5</v>
      </c>
      <c r="H17" s="37">
        <f t="shared" si="0"/>
        <v>31.565000000000001</v>
      </c>
      <c r="I17" s="37">
        <v>42</v>
      </c>
      <c r="J17" s="63">
        <v>42</v>
      </c>
      <c r="K17" s="39">
        <f t="shared" si="7"/>
        <v>0.24845238095238092</v>
      </c>
      <c r="L17" s="64">
        <v>30</v>
      </c>
      <c r="M17" s="41">
        <f t="shared" si="6"/>
        <v>-5.2166666666666708E-2</v>
      </c>
      <c r="N17" s="42">
        <f t="shared" si="5"/>
        <v>-175.51401869158894</v>
      </c>
      <c r="O17" s="43" t="s">
        <v>406</v>
      </c>
      <c r="P17" s="44">
        <v>10</v>
      </c>
      <c r="Q17" s="45">
        <f t="shared" si="3"/>
        <v>120</v>
      </c>
      <c r="R17" s="46">
        <f t="shared" si="8"/>
        <v>3600</v>
      </c>
      <c r="S17" s="47"/>
      <c r="T17" s="47" t="s">
        <v>368</v>
      </c>
      <c r="U17" s="47"/>
      <c r="V17" s="48"/>
      <c r="W17" s="49" t="s">
        <v>369</v>
      </c>
      <c r="X17" s="50" t="s">
        <v>370</v>
      </c>
      <c r="Y17" s="51" t="s">
        <v>371</v>
      </c>
      <c r="Z17" s="52" t="s">
        <v>372</v>
      </c>
      <c r="AA17" s="53">
        <v>30</v>
      </c>
      <c r="AB17" s="54"/>
      <c r="AC17" s="55"/>
      <c r="AD17" s="55"/>
      <c r="AE17" s="56"/>
      <c r="AF17" s="56"/>
    </row>
    <row r="18" spans="1:32" x14ac:dyDescent="0.25">
      <c r="A18" s="30" t="s">
        <v>364</v>
      </c>
      <c r="B18" s="31" t="s">
        <v>365</v>
      </c>
      <c r="C18" s="32">
        <v>102098794</v>
      </c>
      <c r="D18" s="33" t="s">
        <v>407</v>
      </c>
      <c r="E18" s="34" t="s">
        <v>408</v>
      </c>
      <c r="F18" s="35">
        <v>8</v>
      </c>
      <c r="G18" s="36">
        <v>91.36</v>
      </c>
      <c r="H18" s="37">
        <f>G18*1.07</f>
        <v>97.755200000000002</v>
      </c>
      <c r="I18" s="37">
        <v>103</v>
      </c>
      <c r="J18" s="38">
        <v>103</v>
      </c>
      <c r="K18" s="39">
        <f t="shared" si="7"/>
        <v>5.0920388349514546E-2</v>
      </c>
      <c r="L18" s="64">
        <v>99</v>
      </c>
      <c r="M18" s="41">
        <f t="shared" si="6"/>
        <v>1.2573737373737353E-2</v>
      </c>
      <c r="N18" s="42">
        <f t="shared" si="5"/>
        <v>74.455327102803494</v>
      </c>
      <c r="O18" s="43" t="s">
        <v>406</v>
      </c>
      <c r="P18" s="44">
        <v>8</v>
      </c>
      <c r="Q18" s="45">
        <f t="shared" si="3"/>
        <v>64</v>
      </c>
      <c r="R18" s="46">
        <f t="shared" si="8"/>
        <v>6336</v>
      </c>
      <c r="S18" s="47"/>
      <c r="T18" s="47" t="s">
        <v>368</v>
      </c>
      <c r="U18" s="47"/>
      <c r="V18" s="48"/>
      <c r="W18" s="49" t="s">
        <v>369</v>
      </c>
      <c r="X18" s="50" t="s">
        <v>370</v>
      </c>
      <c r="Y18" s="51" t="s">
        <v>371</v>
      </c>
      <c r="Z18" s="52" t="s">
        <v>372</v>
      </c>
      <c r="AA18" s="53">
        <v>99</v>
      </c>
      <c r="AB18" s="54"/>
      <c r="AC18" s="55"/>
      <c r="AD18" s="55"/>
      <c r="AE18" s="56"/>
      <c r="AF18" s="56"/>
    </row>
    <row r="19" spans="1:32" x14ac:dyDescent="0.25">
      <c r="A19" s="30" t="s">
        <v>364</v>
      </c>
      <c r="B19" s="60" t="s">
        <v>365</v>
      </c>
      <c r="C19" s="32">
        <v>102098795</v>
      </c>
      <c r="D19" s="33" t="s">
        <v>409</v>
      </c>
      <c r="E19" s="34" t="s">
        <v>410</v>
      </c>
      <c r="F19" s="35">
        <v>8</v>
      </c>
      <c r="G19" s="36">
        <v>91.36</v>
      </c>
      <c r="H19" s="37">
        <f t="shared" si="0"/>
        <v>97.755200000000002</v>
      </c>
      <c r="I19" s="37">
        <v>103</v>
      </c>
      <c r="J19" s="38">
        <v>103</v>
      </c>
      <c r="K19" s="39">
        <f t="shared" si="7"/>
        <v>5.0920388349514546E-2</v>
      </c>
      <c r="L19" s="64">
        <v>99</v>
      </c>
      <c r="M19" s="41">
        <f t="shared" si="6"/>
        <v>1.2573737373737353E-2</v>
      </c>
      <c r="N19" s="42">
        <f t="shared" si="5"/>
        <v>74.455327102803494</v>
      </c>
      <c r="O19" s="43" t="s">
        <v>406</v>
      </c>
      <c r="P19" s="44">
        <v>8</v>
      </c>
      <c r="Q19" s="45">
        <f t="shared" si="3"/>
        <v>64</v>
      </c>
      <c r="R19" s="46">
        <f t="shared" si="8"/>
        <v>6336</v>
      </c>
      <c r="S19" s="47"/>
      <c r="T19" s="47" t="s">
        <v>368</v>
      </c>
      <c r="U19" s="47"/>
      <c r="V19" s="48"/>
      <c r="W19" s="49" t="s">
        <v>369</v>
      </c>
      <c r="X19" s="50" t="s">
        <v>370</v>
      </c>
      <c r="Y19" s="51" t="s">
        <v>371</v>
      </c>
      <c r="Z19" s="52" t="s">
        <v>372</v>
      </c>
      <c r="AA19" s="53">
        <v>99</v>
      </c>
      <c r="AB19" s="54"/>
      <c r="AC19" s="55"/>
      <c r="AD19" s="55"/>
      <c r="AE19" s="56"/>
      <c r="AF19" s="56"/>
    </row>
    <row r="20" spans="1:32" x14ac:dyDescent="0.25">
      <c r="A20" s="30" t="s">
        <v>364</v>
      </c>
      <c r="B20" s="31" t="s">
        <v>365</v>
      </c>
      <c r="C20" s="32">
        <v>102098798</v>
      </c>
      <c r="D20" s="33" t="s">
        <v>411</v>
      </c>
      <c r="E20" s="34" t="s">
        <v>412</v>
      </c>
      <c r="F20" s="35">
        <v>8</v>
      </c>
      <c r="G20" s="36">
        <v>91.36</v>
      </c>
      <c r="H20" s="37">
        <f t="shared" si="0"/>
        <v>97.755200000000002</v>
      </c>
      <c r="I20" s="37">
        <v>103</v>
      </c>
      <c r="J20" s="38">
        <v>103</v>
      </c>
      <c r="K20" s="39">
        <f t="shared" si="7"/>
        <v>5.0920388349514546E-2</v>
      </c>
      <c r="L20" s="64">
        <v>99</v>
      </c>
      <c r="M20" s="41">
        <f t="shared" si="6"/>
        <v>1.2573737373737353E-2</v>
      </c>
      <c r="N20" s="42">
        <f t="shared" si="5"/>
        <v>74.455327102803494</v>
      </c>
      <c r="O20" s="43" t="s">
        <v>406</v>
      </c>
      <c r="P20" s="44">
        <v>8</v>
      </c>
      <c r="Q20" s="45">
        <f t="shared" si="3"/>
        <v>64</v>
      </c>
      <c r="R20" s="46">
        <f t="shared" si="8"/>
        <v>6336</v>
      </c>
      <c r="S20" s="47"/>
      <c r="T20" s="47" t="s">
        <v>368</v>
      </c>
      <c r="U20" s="47"/>
      <c r="V20" s="48"/>
      <c r="W20" s="49" t="s">
        <v>369</v>
      </c>
      <c r="X20" s="50" t="s">
        <v>370</v>
      </c>
      <c r="Y20" s="51" t="s">
        <v>371</v>
      </c>
      <c r="Z20" s="52" t="s">
        <v>372</v>
      </c>
      <c r="AA20" s="53">
        <v>99</v>
      </c>
      <c r="AB20" s="54"/>
      <c r="AC20" s="55"/>
      <c r="AD20" s="55"/>
      <c r="AE20" s="56"/>
      <c r="AF20" s="56"/>
    </row>
    <row r="21" spans="1:32" x14ac:dyDescent="0.25">
      <c r="A21" s="30" t="s">
        <v>364</v>
      </c>
      <c r="B21" s="31" t="s">
        <v>365</v>
      </c>
      <c r="C21" s="32">
        <v>102098799</v>
      </c>
      <c r="D21" s="33" t="s">
        <v>413</v>
      </c>
      <c r="E21" s="34" t="s">
        <v>414</v>
      </c>
      <c r="F21" s="35">
        <v>8</v>
      </c>
      <c r="G21" s="36">
        <v>91.36</v>
      </c>
      <c r="H21" s="37">
        <f t="shared" si="0"/>
        <v>97.755200000000002</v>
      </c>
      <c r="I21" s="37">
        <v>103</v>
      </c>
      <c r="J21" s="38">
        <v>103</v>
      </c>
      <c r="K21" s="39">
        <f t="shared" si="7"/>
        <v>5.0920388349514546E-2</v>
      </c>
      <c r="L21" s="40">
        <v>99</v>
      </c>
      <c r="M21" s="41">
        <f t="shared" si="6"/>
        <v>1.2573737373737353E-2</v>
      </c>
      <c r="N21" s="42">
        <f t="shared" si="5"/>
        <v>74.455327102803494</v>
      </c>
      <c r="O21" s="43" t="s">
        <v>406</v>
      </c>
      <c r="P21" s="44">
        <v>8</v>
      </c>
      <c r="Q21" s="45">
        <f t="shared" si="3"/>
        <v>64</v>
      </c>
      <c r="R21" s="46">
        <f t="shared" si="8"/>
        <v>6336</v>
      </c>
      <c r="S21" s="47"/>
      <c r="T21" s="47" t="s">
        <v>368</v>
      </c>
      <c r="U21" s="47"/>
      <c r="V21" s="48"/>
      <c r="W21" s="49" t="s">
        <v>369</v>
      </c>
      <c r="X21" s="50" t="s">
        <v>370</v>
      </c>
      <c r="Y21" s="51" t="s">
        <v>371</v>
      </c>
      <c r="Z21" s="52" t="s">
        <v>372</v>
      </c>
      <c r="AA21" s="53">
        <v>99</v>
      </c>
      <c r="AB21" s="69"/>
      <c r="AC21" s="55"/>
      <c r="AD21" s="55"/>
      <c r="AE21" s="56"/>
      <c r="AF21" s="56"/>
    </row>
    <row r="22" spans="1:32" x14ac:dyDescent="0.25">
      <c r="A22" s="70" t="s">
        <v>364</v>
      </c>
      <c r="B22" s="71" t="s">
        <v>415</v>
      </c>
      <c r="C22" s="72">
        <v>102379568</v>
      </c>
      <c r="D22" s="73" t="s">
        <v>416</v>
      </c>
      <c r="E22" s="74" t="s">
        <v>417</v>
      </c>
      <c r="F22" s="75">
        <v>12</v>
      </c>
      <c r="G22" s="76">
        <v>106.36</v>
      </c>
      <c r="H22" s="76">
        <f t="shared" si="0"/>
        <v>113.8052</v>
      </c>
      <c r="I22" s="76">
        <v>129</v>
      </c>
      <c r="J22" s="77">
        <v>79</v>
      </c>
      <c r="K22" s="78">
        <f t="shared" ref="K22:K31" si="9">SUM(J22-H22)/J22</f>
        <v>-0.44057215189873417</v>
      </c>
      <c r="L22" s="79">
        <v>69</v>
      </c>
      <c r="M22" s="78">
        <f t="shared" ref="M22:M31" si="10">SUM(L22-H22)/L22</f>
        <v>-0.64935072463768118</v>
      </c>
      <c r="N22" s="80">
        <f t="shared" si="5"/>
        <v>-502.48822429906545</v>
      </c>
      <c r="O22" s="281" t="s">
        <v>418</v>
      </c>
      <c r="P22" s="81">
        <v>1</v>
      </c>
      <c r="Q22" s="82">
        <f t="shared" si="3"/>
        <v>12</v>
      </c>
      <c r="R22" s="83">
        <f t="shared" si="8"/>
        <v>828</v>
      </c>
      <c r="S22" s="47"/>
      <c r="T22" s="47" t="s">
        <v>368</v>
      </c>
      <c r="U22" s="47"/>
      <c r="V22" s="48"/>
      <c r="W22" s="49" t="s">
        <v>369</v>
      </c>
      <c r="X22" s="50" t="s">
        <v>370</v>
      </c>
      <c r="Y22" s="51" t="s">
        <v>371</v>
      </c>
      <c r="Z22" s="52" t="s">
        <v>372</v>
      </c>
      <c r="AA22" s="53">
        <v>76</v>
      </c>
      <c r="AB22" s="278" t="s">
        <v>419</v>
      </c>
      <c r="AC22" s="84"/>
      <c r="AD22" s="55"/>
      <c r="AE22" s="56"/>
      <c r="AF22" s="56"/>
    </row>
    <row r="23" spans="1:32" x14ac:dyDescent="0.25">
      <c r="A23" s="70" t="s">
        <v>364</v>
      </c>
      <c r="B23" s="85" t="s">
        <v>415</v>
      </c>
      <c r="C23" s="72">
        <v>102379565</v>
      </c>
      <c r="D23" s="86" t="s">
        <v>420</v>
      </c>
      <c r="E23" s="74" t="s">
        <v>421</v>
      </c>
      <c r="F23" s="75">
        <v>12</v>
      </c>
      <c r="G23" s="76">
        <v>106.36</v>
      </c>
      <c r="H23" s="76">
        <f t="shared" si="0"/>
        <v>113.8052</v>
      </c>
      <c r="I23" s="76">
        <v>129</v>
      </c>
      <c r="J23" s="77">
        <v>79</v>
      </c>
      <c r="K23" s="78">
        <f t="shared" si="9"/>
        <v>-0.44057215189873417</v>
      </c>
      <c r="L23" s="79">
        <v>69</v>
      </c>
      <c r="M23" s="78">
        <f t="shared" si="10"/>
        <v>-0.64935072463768118</v>
      </c>
      <c r="N23" s="80">
        <f t="shared" si="5"/>
        <v>-502.48822429906545</v>
      </c>
      <c r="O23" s="282"/>
      <c r="P23" s="81">
        <v>1</v>
      </c>
      <c r="Q23" s="82">
        <f t="shared" si="3"/>
        <v>12</v>
      </c>
      <c r="R23" s="83">
        <f t="shared" si="8"/>
        <v>828</v>
      </c>
      <c r="S23" s="47"/>
      <c r="T23" s="47" t="s">
        <v>368</v>
      </c>
      <c r="U23" s="47"/>
      <c r="V23" s="48"/>
      <c r="W23" s="49" t="s">
        <v>369</v>
      </c>
      <c r="X23" s="50" t="s">
        <v>370</v>
      </c>
      <c r="Y23" s="51" t="s">
        <v>371</v>
      </c>
      <c r="Z23" s="52" t="s">
        <v>372</v>
      </c>
      <c r="AA23" s="53">
        <v>76</v>
      </c>
      <c r="AB23" s="279"/>
      <c r="AC23" s="84"/>
      <c r="AD23" s="55"/>
      <c r="AE23" s="56"/>
      <c r="AF23" s="56"/>
    </row>
    <row r="24" spans="1:32" x14ac:dyDescent="0.25">
      <c r="A24" s="70" t="s">
        <v>364</v>
      </c>
      <c r="B24" s="85" t="s">
        <v>415</v>
      </c>
      <c r="C24" s="72">
        <v>102379566</v>
      </c>
      <c r="D24" s="86" t="s">
        <v>422</v>
      </c>
      <c r="E24" s="74" t="s">
        <v>423</v>
      </c>
      <c r="F24" s="75">
        <v>12</v>
      </c>
      <c r="G24" s="76">
        <v>106.36</v>
      </c>
      <c r="H24" s="76">
        <f t="shared" si="0"/>
        <v>113.8052</v>
      </c>
      <c r="I24" s="76">
        <v>129</v>
      </c>
      <c r="J24" s="77">
        <v>79</v>
      </c>
      <c r="K24" s="78">
        <f t="shared" si="9"/>
        <v>-0.44057215189873417</v>
      </c>
      <c r="L24" s="79">
        <v>69</v>
      </c>
      <c r="M24" s="78">
        <f t="shared" si="10"/>
        <v>-0.64935072463768118</v>
      </c>
      <c r="N24" s="80">
        <f t="shared" si="5"/>
        <v>-502.48822429906545</v>
      </c>
      <c r="O24" s="282"/>
      <c r="P24" s="81">
        <v>1</v>
      </c>
      <c r="Q24" s="82">
        <f t="shared" si="3"/>
        <v>12</v>
      </c>
      <c r="R24" s="83">
        <f t="shared" si="8"/>
        <v>828</v>
      </c>
      <c r="S24" s="47"/>
      <c r="T24" s="47" t="s">
        <v>368</v>
      </c>
      <c r="U24" s="47"/>
      <c r="V24" s="48"/>
      <c r="W24" s="49" t="s">
        <v>369</v>
      </c>
      <c r="X24" s="50" t="s">
        <v>370</v>
      </c>
      <c r="Y24" s="51" t="s">
        <v>371</v>
      </c>
      <c r="Z24" s="52" t="s">
        <v>372</v>
      </c>
      <c r="AA24" s="53">
        <v>76</v>
      </c>
      <c r="AB24" s="279"/>
      <c r="AC24" s="84"/>
      <c r="AD24" s="55"/>
      <c r="AE24" s="56"/>
      <c r="AF24" s="56"/>
    </row>
    <row r="25" spans="1:32" x14ac:dyDescent="0.25">
      <c r="A25" s="70" t="s">
        <v>364</v>
      </c>
      <c r="B25" s="85" t="s">
        <v>415</v>
      </c>
      <c r="C25" s="72">
        <v>102379567</v>
      </c>
      <c r="D25" s="86" t="s">
        <v>424</v>
      </c>
      <c r="E25" s="74" t="s">
        <v>425</v>
      </c>
      <c r="F25" s="75">
        <v>12</v>
      </c>
      <c r="G25" s="76">
        <v>106.36</v>
      </c>
      <c r="H25" s="76">
        <f t="shared" si="0"/>
        <v>113.8052</v>
      </c>
      <c r="I25" s="76">
        <v>129</v>
      </c>
      <c r="J25" s="77">
        <v>79</v>
      </c>
      <c r="K25" s="78">
        <f t="shared" si="9"/>
        <v>-0.44057215189873417</v>
      </c>
      <c r="L25" s="79">
        <v>69</v>
      </c>
      <c r="M25" s="78">
        <f t="shared" si="10"/>
        <v>-0.64935072463768118</v>
      </c>
      <c r="N25" s="80">
        <f t="shared" si="5"/>
        <v>-502.48822429906545</v>
      </c>
      <c r="O25" s="282"/>
      <c r="P25" s="81">
        <v>1</v>
      </c>
      <c r="Q25" s="82">
        <f t="shared" si="3"/>
        <v>12</v>
      </c>
      <c r="R25" s="83">
        <f t="shared" si="8"/>
        <v>828</v>
      </c>
      <c r="S25" s="47"/>
      <c r="T25" s="47" t="s">
        <v>368</v>
      </c>
      <c r="U25" s="47"/>
      <c r="V25" s="48"/>
      <c r="W25" s="49" t="s">
        <v>369</v>
      </c>
      <c r="X25" s="50" t="s">
        <v>370</v>
      </c>
      <c r="Y25" s="51" t="s">
        <v>371</v>
      </c>
      <c r="Z25" s="52" t="s">
        <v>372</v>
      </c>
      <c r="AA25" s="53">
        <v>76</v>
      </c>
      <c r="AB25" s="279"/>
      <c r="AC25" s="84"/>
      <c r="AD25" s="55"/>
      <c r="AE25" s="56"/>
      <c r="AF25" s="56"/>
    </row>
    <row r="26" spans="1:32" x14ac:dyDescent="0.25">
      <c r="A26" s="70" t="s">
        <v>364</v>
      </c>
      <c r="B26" s="85" t="s">
        <v>415</v>
      </c>
      <c r="C26" s="72">
        <v>102379564</v>
      </c>
      <c r="D26" s="86" t="s">
        <v>426</v>
      </c>
      <c r="E26" s="74" t="s">
        <v>417</v>
      </c>
      <c r="F26" s="75">
        <v>12</v>
      </c>
      <c r="G26" s="76">
        <v>106.36</v>
      </c>
      <c r="H26" s="76">
        <f t="shared" si="0"/>
        <v>113.8052</v>
      </c>
      <c r="I26" s="76">
        <v>129</v>
      </c>
      <c r="J26" s="77">
        <v>79</v>
      </c>
      <c r="K26" s="78">
        <f t="shared" si="9"/>
        <v>-0.44057215189873417</v>
      </c>
      <c r="L26" s="79">
        <v>69</v>
      </c>
      <c r="M26" s="78">
        <f t="shared" si="10"/>
        <v>-0.64935072463768118</v>
      </c>
      <c r="N26" s="80">
        <f t="shared" si="5"/>
        <v>-502.48822429906545</v>
      </c>
      <c r="O26" s="282"/>
      <c r="P26" s="81">
        <v>1</v>
      </c>
      <c r="Q26" s="82">
        <f t="shared" si="3"/>
        <v>12</v>
      </c>
      <c r="R26" s="83">
        <f t="shared" si="8"/>
        <v>828</v>
      </c>
      <c r="S26" s="47"/>
      <c r="T26" s="47" t="s">
        <v>368</v>
      </c>
      <c r="U26" s="47"/>
      <c r="V26" s="48"/>
      <c r="W26" s="49" t="s">
        <v>369</v>
      </c>
      <c r="X26" s="50" t="s">
        <v>370</v>
      </c>
      <c r="Y26" s="51" t="s">
        <v>371</v>
      </c>
      <c r="Z26" s="52" t="s">
        <v>372</v>
      </c>
      <c r="AA26" s="53">
        <v>76</v>
      </c>
      <c r="AB26" s="69"/>
      <c r="AC26" s="84"/>
      <c r="AD26" s="55"/>
      <c r="AE26" s="56"/>
      <c r="AF26" s="56"/>
    </row>
    <row r="27" spans="1:32" x14ac:dyDescent="0.25">
      <c r="A27" s="70" t="s">
        <v>364</v>
      </c>
      <c r="B27" s="85" t="s">
        <v>415</v>
      </c>
      <c r="C27" s="72">
        <v>102379595</v>
      </c>
      <c r="D27" s="86" t="s">
        <v>427</v>
      </c>
      <c r="E27" s="74" t="s">
        <v>428</v>
      </c>
      <c r="F27" s="75">
        <v>12</v>
      </c>
      <c r="G27" s="76">
        <v>106.36</v>
      </c>
      <c r="H27" s="76">
        <f t="shared" si="0"/>
        <v>113.8052</v>
      </c>
      <c r="I27" s="76">
        <v>129</v>
      </c>
      <c r="J27" s="77">
        <v>79</v>
      </c>
      <c r="K27" s="78">
        <f t="shared" si="9"/>
        <v>-0.44057215189873417</v>
      </c>
      <c r="L27" s="79">
        <v>69</v>
      </c>
      <c r="M27" s="78">
        <f t="shared" si="10"/>
        <v>-0.64935072463768118</v>
      </c>
      <c r="N27" s="80">
        <f t="shared" si="5"/>
        <v>-502.48822429906545</v>
      </c>
      <c r="O27" s="282" t="s">
        <v>429</v>
      </c>
      <c r="P27" s="81">
        <v>1</v>
      </c>
      <c r="Q27" s="82">
        <f t="shared" si="3"/>
        <v>12</v>
      </c>
      <c r="R27" s="83">
        <f t="shared" si="8"/>
        <v>828</v>
      </c>
      <c r="S27" s="47"/>
      <c r="T27" s="47" t="s">
        <v>368</v>
      </c>
      <c r="U27" s="47"/>
      <c r="V27" s="48"/>
      <c r="W27" s="49" t="s">
        <v>369</v>
      </c>
      <c r="X27" s="50" t="s">
        <v>370</v>
      </c>
      <c r="Y27" s="51" t="s">
        <v>371</v>
      </c>
      <c r="Z27" s="52" t="s">
        <v>372</v>
      </c>
      <c r="AA27" s="53">
        <v>76</v>
      </c>
      <c r="AB27" s="278" t="s">
        <v>419</v>
      </c>
      <c r="AC27" s="84"/>
      <c r="AD27" s="55"/>
      <c r="AE27" s="56"/>
      <c r="AF27" s="56"/>
    </row>
    <row r="28" spans="1:32" x14ac:dyDescent="0.25">
      <c r="A28" s="70" t="s">
        <v>364</v>
      </c>
      <c r="B28" s="85" t="s">
        <v>415</v>
      </c>
      <c r="C28" s="72">
        <v>102379592</v>
      </c>
      <c r="D28" s="86" t="s">
        <v>430</v>
      </c>
      <c r="E28" s="74" t="s">
        <v>431</v>
      </c>
      <c r="F28" s="75">
        <v>12</v>
      </c>
      <c r="G28" s="76">
        <v>106.36</v>
      </c>
      <c r="H28" s="76">
        <f t="shared" si="0"/>
        <v>113.8052</v>
      </c>
      <c r="I28" s="76">
        <v>129</v>
      </c>
      <c r="J28" s="77">
        <v>79</v>
      </c>
      <c r="K28" s="78">
        <f t="shared" si="9"/>
        <v>-0.44057215189873417</v>
      </c>
      <c r="L28" s="79">
        <v>69</v>
      </c>
      <c r="M28" s="78">
        <f t="shared" si="10"/>
        <v>-0.64935072463768118</v>
      </c>
      <c r="N28" s="80">
        <f t="shared" si="5"/>
        <v>-502.48822429906545</v>
      </c>
      <c r="O28" s="282"/>
      <c r="P28" s="81">
        <v>1</v>
      </c>
      <c r="Q28" s="82">
        <f t="shared" si="3"/>
        <v>12</v>
      </c>
      <c r="R28" s="83">
        <f t="shared" si="8"/>
        <v>828</v>
      </c>
      <c r="S28" s="47"/>
      <c r="T28" s="47" t="s">
        <v>368</v>
      </c>
      <c r="U28" s="47"/>
      <c r="V28" s="48"/>
      <c r="W28" s="49" t="s">
        <v>369</v>
      </c>
      <c r="X28" s="50" t="s">
        <v>370</v>
      </c>
      <c r="Y28" s="51" t="s">
        <v>371</v>
      </c>
      <c r="Z28" s="52" t="s">
        <v>372</v>
      </c>
      <c r="AA28" s="53">
        <v>76</v>
      </c>
      <c r="AB28" s="279"/>
      <c r="AC28" s="84"/>
      <c r="AD28" s="55"/>
      <c r="AE28" s="56"/>
      <c r="AF28" s="56"/>
    </row>
    <row r="29" spans="1:32" x14ac:dyDescent="0.25">
      <c r="A29" s="70" t="s">
        <v>364</v>
      </c>
      <c r="B29" s="85" t="s">
        <v>365</v>
      </c>
      <c r="C29" s="72">
        <v>102379593</v>
      </c>
      <c r="D29" s="86" t="s">
        <v>432</v>
      </c>
      <c r="E29" s="74" t="s">
        <v>433</v>
      </c>
      <c r="F29" s="75">
        <v>12</v>
      </c>
      <c r="G29" s="76">
        <v>106.36</v>
      </c>
      <c r="H29" s="76">
        <f t="shared" si="0"/>
        <v>113.8052</v>
      </c>
      <c r="I29" s="76">
        <v>129</v>
      </c>
      <c r="J29" s="77">
        <v>79</v>
      </c>
      <c r="K29" s="78">
        <f t="shared" si="9"/>
        <v>-0.44057215189873417</v>
      </c>
      <c r="L29" s="79">
        <v>69</v>
      </c>
      <c r="M29" s="78">
        <f t="shared" si="10"/>
        <v>-0.64935072463768118</v>
      </c>
      <c r="N29" s="80">
        <f t="shared" si="5"/>
        <v>-502.48822429906545</v>
      </c>
      <c r="O29" s="282"/>
      <c r="P29" s="81">
        <v>1</v>
      </c>
      <c r="Q29" s="82">
        <f t="shared" si="3"/>
        <v>12</v>
      </c>
      <c r="R29" s="83">
        <f t="shared" si="8"/>
        <v>828</v>
      </c>
      <c r="S29" s="47"/>
      <c r="T29" s="47" t="s">
        <v>368</v>
      </c>
      <c r="U29" s="47"/>
      <c r="V29" s="48"/>
      <c r="W29" s="49" t="s">
        <v>369</v>
      </c>
      <c r="X29" s="50" t="s">
        <v>370</v>
      </c>
      <c r="Y29" s="51" t="s">
        <v>371</v>
      </c>
      <c r="Z29" s="52" t="s">
        <v>372</v>
      </c>
      <c r="AA29" s="53">
        <v>76</v>
      </c>
      <c r="AB29" s="279"/>
      <c r="AC29" s="84"/>
      <c r="AD29" s="55"/>
      <c r="AE29" s="56"/>
      <c r="AF29" s="56"/>
    </row>
    <row r="30" spans="1:32" x14ac:dyDescent="0.25">
      <c r="A30" s="70" t="s">
        <v>364</v>
      </c>
      <c r="B30" s="85" t="s">
        <v>365</v>
      </c>
      <c r="C30" s="72">
        <v>102379594</v>
      </c>
      <c r="D30" s="86" t="s">
        <v>434</v>
      </c>
      <c r="E30" s="74" t="s">
        <v>435</v>
      </c>
      <c r="F30" s="75">
        <v>12</v>
      </c>
      <c r="G30" s="76">
        <v>106.36</v>
      </c>
      <c r="H30" s="76">
        <f t="shared" si="0"/>
        <v>113.8052</v>
      </c>
      <c r="I30" s="76">
        <v>129</v>
      </c>
      <c r="J30" s="77">
        <v>79</v>
      </c>
      <c r="K30" s="78">
        <f t="shared" si="9"/>
        <v>-0.44057215189873417</v>
      </c>
      <c r="L30" s="79">
        <v>69</v>
      </c>
      <c r="M30" s="78">
        <f t="shared" si="10"/>
        <v>-0.64935072463768118</v>
      </c>
      <c r="N30" s="80">
        <f t="shared" si="5"/>
        <v>-502.48822429906545</v>
      </c>
      <c r="O30" s="282"/>
      <c r="P30" s="81">
        <v>1</v>
      </c>
      <c r="Q30" s="82">
        <f t="shared" si="3"/>
        <v>12</v>
      </c>
      <c r="R30" s="83">
        <f t="shared" si="8"/>
        <v>828</v>
      </c>
      <c r="S30" s="47"/>
      <c r="T30" s="47" t="s">
        <v>368</v>
      </c>
      <c r="U30" s="47"/>
      <c r="V30" s="48"/>
      <c r="W30" s="49" t="s">
        <v>369</v>
      </c>
      <c r="X30" s="50" t="s">
        <v>370</v>
      </c>
      <c r="Y30" s="51" t="s">
        <v>371</v>
      </c>
      <c r="Z30" s="52" t="s">
        <v>372</v>
      </c>
      <c r="AA30" s="53">
        <v>76</v>
      </c>
      <c r="AB30" s="279"/>
      <c r="AC30" s="84"/>
      <c r="AD30" s="55"/>
      <c r="AE30" s="56"/>
      <c r="AF30" s="56"/>
    </row>
    <row r="31" spans="1:32" x14ac:dyDescent="0.25">
      <c r="A31" s="70" t="s">
        <v>364</v>
      </c>
      <c r="B31" s="85" t="s">
        <v>365</v>
      </c>
      <c r="C31" s="72">
        <v>102379591</v>
      </c>
      <c r="D31" s="86" t="s">
        <v>436</v>
      </c>
      <c r="E31" s="74" t="s">
        <v>428</v>
      </c>
      <c r="F31" s="75">
        <v>12</v>
      </c>
      <c r="G31" s="76">
        <v>106.36</v>
      </c>
      <c r="H31" s="76">
        <f t="shared" si="0"/>
        <v>113.8052</v>
      </c>
      <c r="I31" s="76">
        <v>129</v>
      </c>
      <c r="J31" s="77">
        <v>79</v>
      </c>
      <c r="K31" s="78">
        <f t="shared" si="9"/>
        <v>-0.44057215189873417</v>
      </c>
      <c r="L31" s="79">
        <v>69</v>
      </c>
      <c r="M31" s="78">
        <f t="shared" si="10"/>
        <v>-0.64935072463768118</v>
      </c>
      <c r="N31" s="80">
        <f t="shared" si="5"/>
        <v>-502.48822429906545</v>
      </c>
      <c r="O31" s="283"/>
      <c r="P31" s="81">
        <v>1</v>
      </c>
      <c r="Q31" s="82">
        <f t="shared" si="3"/>
        <v>12</v>
      </c>
      <c r="R31" s="83">
        <f t="shared" si="8"/>
        <v>828</v>
      </c>
      <c r="S31" s="47"/>
      <c r="T31" s="47" t="s">
        <v>368</v>
      </c>
      <c r="U31" s="47"/>
      <c r="V31" s="48"/>
      <c r="W31" s="49" t="s">
        <v>369</v>
      </c>
      <c r="X31" s="50" t="s">
        <v>370</v>
      </c>
      <c r="Y31" s="51" t="s">
        <v>371</v>
      </c>
      <c r="Z31" s="52" t="s">
        <v>372</v>
      </c>
      <c r="AA31" s="53">
        <v>76</v>
      </c>
      <c r="AB31" s="54"/>
      <c r="AC31" s="84"/>
      <c r="AD31" s="55"/>
      <c r="AE31" s="56"/>
      <c r="AF31" s="56"/>
    </row>
    <row r="32" spans="1:32" s="106" customFormat="1" x14ac:dyDescent="0.4">
      <c r="A32" s="267" t="s">
        <v>437</v>
      </c>
      <c r="B32" s="268"/>
      <c r="C32" s="268"/>
      <c r="D32" s="268"/>
      <c r="E32" s="269"/>
      <c r="F32" s="87"/>
      <c r="G32" s="88"/>
      <c r="H32" s="89"/>
      <c r="I32" s="89"/>
      <c r="J32" s="90"/>
      <c r="K32" s="90"/>
      <c r="L32" s="91"/>
      <c r="M32" s="92">
        <f>N32/R32</f>
        <v>-9.0783772251558106E-2</v>
      </c>
      <c r="N32" s="91">
        <f>SUM(N5:N31)</f>
        <v>-7575.9057943925245</v>
      </c>
      <c r="O32" s="93"/>
      <c r="P32" s="94">
        <v>0</v>
      </c>
      <c r="Q32" s="95">
        <f>SUM(Q5:Q31)</f>
        <v>1653</v>
      </c>
      <c r="R32" s="96">
        <f>SUM(R5:S31)</f>
        <v>83450</v>
      </c>
      <c r="S32" s="97"/>
      <c r="T32" s="97"/>
      <c r="U32" s="98"/>
      <c r="V32" s="99"/>
      <c r="W32" s="100"/>
      <c r="X32" s="101"/>
      <c r="Y32" s="101"/>
      <c r="Z32" s="102"/>
      <c r="AA32" s="103"/>
      <c r="AB32" s="104"/>
      <c r="AC32" s="105"/>
      <c r="AD32" s="105">
        <f>+AC32*AA32*F32/1.07</f>
        <v>0</v>
      </c>
    </row>
  </sheetData>
  <mergeCells count="12">
    <mergeCell ref="A32:E32"/>
    <mergeCell ref="A3:O3"/>
    <mergeCell ref="W3:Z3"/>
    <mergeCell ref="AA3:AB3"/>
    <mergeCell ref="AC3:AD3"/>
    <mergeCell ref="O8:O11"/>
    <mergeCell ref="AB8:AB11"/>
    <mergeCell ref="O12:O13"/>
    <mergeCell ref="O22:O26"/>
    <mergeCell ref="AB22:AB25"/>
    <mergeCell ref="O27:O31"/>
    <mergeCell ref="AB27:AB30"/>
  </mergeCells>
  <conditionalFormatting sqref="W5:W31">
    <cfRule type="cellIs" dxfId="11" priority="2" operator="equal">
      <formula>0</formula>
    </cfRule>
  </conditionalFormatting>
  <conditionalFormatting sqref="W12">
    <cfRule type="duplicateValues" dxfId="10" priority="5"/>
    <cfRule type="duplicateValues" dxfId="9" priority="7"/>
    <cfRule type="duplicateValues" dxfId="8" priority="8"/>
  </conditionalFormatting>
  <conditionalFormatting sqref="W13">
    <cfRule type="duplicateValues" dxfId="7" priority="1"/>
    <cfRule type="duplicateValues" dxfId="6" priority="3"/>
    <cfRule type="duplicateValues" dxfId="5" priority="4"/>
  </conditionalFormatting>
  <conditionalFormatting sqref="W22 W10 W27 W18 W6">
    <cfRule type="duplicateValues" dxfId="4" priority="9"/>
  </conditionalFormatting>
  <conditionalFormatting sqref="W23 W11 W14 W28 W19">
    <cfRule type="duplicateValues" dxfId="3" priority="18"/>
  </conditionalFormatting>
  <conditionalFormatting sqref="W24 W7 W15 W29 W20">
    <cfRule type="duplicateValues" dxfId="2" priority="15"/>
  </conditionalFormatting>
  <conditionalFormatting sqref="W25 W8 W16 W30 W21">
    <cfRule type="duplicateValues" dxfId="1" priority="13"/>
  </conditionalFormatting>
  <conditionalFormatting sqref="W26 W9 W17 W31 W5">
    <cfRule type="duplicateValues" dxfId="0" priority="11"/>
  </conditionalFormatting>
  <pageMargins left="0.7" right="0.7" top="0.75" bottom="0.75" header="0.3" footer="0.3"/>
  <pageSetup paperSize="9" scale="1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G54"/>
  <sheetViews>
    <sheetView zoomScale="50" zoomScaleNormal="50" workbookViewId="0">
      <selection activeCell="A7" sqref="A7"/>
    </sheetView>
  </sheetViews>
  <sheetFormatPr defaultColWidth="9.19921875" defaultRowHeight="22.8" x14ac:dyDescent="0.4"/>
  <cols>
    <col min="1" max="1" width="30.3984375" style="121" customWidth="1"/>
    <col min="2" max="41" width="3.69921875" style="121" customWidth="1"/>
    <col min="42" max="16384" width="9.19921875" style="121"/>
  </cols>
  <sheetData>
    <row r="1" spans="1:241" ht="9.75" customHeight="1" x14ac:dyDescent="0.45">
      <c r="A1" s="120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</row>
    <row r="2" spans="1:241" s="123" customFormat="1" ht="54" x14ac:dyDescent="1.5">
      <c r="A2" s="284" t="s">
        <v>438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  <c r="AI2" s="284"/>
      <c r="AJ2" s="284"/>
      <c r="AK2" s="284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2"/>
      <c r="CE2" s="122"/>
      <c r="CF2" s="122"/>
      <c r="CG2" s="122"/>
      <c r="CH2" s="122"/>
      <c r="CI2" s="122"/>
      <c r="CJ2" s="122"/>
      <c r="CK2" s="122"/>
      <c r="CL2" s="122"/>
      <c r="CM2" s="122"/>
      <c r="CN2" s="122"/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2"/>
      <c r="DG2" s="122"/>
      <c r="DH2" s="122"/>
      <c r="DI2" s="122"/>
      <c r="DJ2" s="122"/>
      <c r="DK2" s="122"/>
      <c r="DL2" s="122"/>
      <c r="DM2" s="122"/>
      <c r="DN2" s="122"/>
      <c r="DO2" s="122"/>
      <c r="DP2" s="122"/>
      <c r="DQ2" s="122"/>
      <c r="DR2" s="122"/>
      <c r="DS2" s="122"/>
      <c r="DT2" s="122"/>
      <c r="DU2" s="122"/>
      <c r="DV2" s="122"/>
      <c r="DW2" s="122"/>
      <c r="DX2" s="122"/>
      <c r="DY2" s="122"/>
      <c r="DZ2" s="122"/>
      <c r="EA2" s="122"/>
      <c r="EB2" s="122"/>
      <c r="EC2" s="122"/>
      <c r="ED2" s="122"/>
      <c r="EE2" s="122"/>
      <c r="EF2" s="122"/>
      <c r="EG2" s="122"/>
      <c r="EH2" s="122"/>
      <c r="EI2" s="122"/>
      <c r="EJ2" s="122"/>
      <c r="EK2" s="122"/>
      <c r="EL2" s="122"/>
      <c r="EM2" s="122"/>
      <c r="EN2" s="122"/>
      <c r="EO2" s="122"/>
      <c r="EP2" s="122"/>
      <c r="EQ2" s="122"/>
      <c r="ER2" s="122"/>
      <c r="ES2" s="122"/>
      <c r="ET2" s="122"/>
      <c r="EU2" s="122"/>
      <c r="EV2" s="122"/>
      <c r="EW2" s="122"/>
      <c r="EX2" s="122"/>
      <c r="EY2" s="122"/>
      <c r="EZ2" s="122"/>
      <c r="FA2" s="122"/>
      <c r="FB2" s="122"/>
      <c r="FC2" s="122"/>
      <c r="FD2" s="122"/>
      <c r="FE2" s="122"/>
      <c r="FF2" s="122"/>
      <c r="FG2" s="122"/>
      <c r="FH2" s="122"/>
      <c r="FI2" s="122"/>
      <c r="FJ2" s="122"/>
      <c r="FK2" s="122"/>
      <c r="FL2" s="122"/>
      <c r="FM2" s="122"/>
      <c r="FN2" s="122"/>
      <c r="FO2" s="122"/>
      <c r="FP2" s="122"/>
      <c r="FQ2" s="122"/>
      <c r="FR2" s="122"/>
      <c r="FS2" s="122"/>
      <c r="FT2" s="122"/>
      <c r="FU2" s="122"/>
      <c r="FV2" s="122"/>
      <c r="FW2" s="122"/>
      <c r="FX2" s="122"/>
      <c r="FY2" s="122"/>
      <c r="FZ2" s="122"/>
      <c r="GA2" s="122"/>
      <c r="GB2" s="122"/>
      <c r="GC2" s="122"/>
      <c r="GD2" s="122"/>
      <c r="GE2" s="122"/>
      <c r="GF2" s="122"/>
      <c r="GG2" s="122"/>
      <c r="GH2" s="122"/>
      <c r="GI2" s="122"/>
      <c r="GJ2" s="122"/>
      <c r="GK2" s="122"/>
      <c r="GL2" s="122"/>
      <c r="GM2" s="122"/>
      <c r="GN2" s="122"/>
      <c r="GO2" s="122"/>
      <c r="GP2" s="122"/>
      <c r="GQ2" s="122"/>
      <c r="GR2" s="122"/>
      <c r="GS2" s="122"/>
      <c r="GT2" s="122"/>
      <c r="GU2" s="122"/>
      <c r="GV2" s="122"/>
      <c r="GW2" s="122"/>
      <c r="GX2" s="122"/>
      <c r="GY2" s="122"/>
      <c r="GZ2" s="122"/>
      <c r="HA2" s="122"/>
      <c r="HB2" s="122"/>
      <c r="HC2" s="122"/>
      <c r="HD2" s="122"/>
      <c r="HE2" s="122"/>
      <c r="HF2" s="122"/>
      <c r="HG2" s="122"/>
      <c r="HH2" s="122"/>
      <c r="HI2" s="122"/>
      <c r="HJ2" s="122"/>
      <c r="HK2" s="122"/>
      <c r="HL2" s="122"/>
      <c r="HM2" s="122"/>
      <c r="HN2" s="122"/>
      <c r="HO2" s="122"/>
      <c r="HP2" s="122"/>
      <c r="HQ2" s="122"/>
      <c r="HR2" s="122"/>
      <c r="HS2" s="122"/>
      <c r="HT2" s="122"/>
      <c r="HU2" s="122"/>
      <c r="HV2" s="122"/>
      <c r="HW2" s="122"/>
      <c r="HX2" s="122"/>
      <c r="HY2" s="122"/>
      <c r="HZ2" s="122"/>
      <c r="IA2" s="122"/>
      <c r="IB2" s="122"/>
      <c r="IC2" s="122"/>
      <c r="ID2" s="122"/>
      <c r="IE2" s="122"/>
      <c r="IF2" s="122"/>
      <c r="IG2" s="122"/>
    </row>
    <row r="3" spans="1:241" ht="10.5" customHeight="1" x14ac:dyDescent="0.8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  <c r="CK3" s="125"/>
      <c r="CL3" s="125"/>
      <c r="CM3" s="125"/>
      <c r="CN3" s="125"/>
      <c r="CO3" s="125"/>
      <c r="CP3" s="125"/>
      <c r="CQ3" s="125"/>
      <c r="CR3" s="125"/>
      <c r="CS3" s="125"/>
      <c r="CT3" s="125"/>
      <c r="CU3" s="125"/>
      <c r="CV3" s="125"/>
      <c r="CW3" s="125"/>
      <c r="CX3" s="125"/>
      <c r="CY3" s="125"/>
      <c r="CZ3" s="125"/>
      <c r="DA3" s="125"/>
      <c r="DB3" s="125"/>
      <c r="DC3" s="125"/>
      <c r="DD3" s="125"/>
      <c r="DE3" s="125"/>
      <c r="DF3" s="125"/>
      <c r="DG3" s="125"/>
      <c r="DH3" s="125"/>
      <c r="DI3" s="125"/>
      <c r="DJ3" s="125"/>
      <c r="DK3" s="125"/>
      <c r="DL3" s="125"/>
      <c r="DM3" s="125"/>
      <c r="DN3" s="125"/>
      <c r="DO3" s="125"/>
      <c r="DP3" s="125"/>
      <c r="DQ3" s="125"/>
      <c r="DR3" s="125"/>
      <c r="DS3" s="125"/>
      <c r="DT3" s="125"/>
      <c r="DU3" s="125"/>
      <c r="DV3" s="125"/>
      <c r="DW3" s="125"/>
      <c r="DX3" s="125"/>
      <c r="DY3" s="125"/>
      <c r="DZ3" s="125"/>
      <c r="EA3" s="125"/>
      <c r="EB3" s="125"/>
      <c r="EC3" s="125"/>
      <c r="ED3" s="125"/>
      <c r="EE3" s="125"/>
      <c r="EF3" s="125"/>
      <c r="EG3" s="125"/>
      <c r="EH3" s="125"/>
      <c r="EI3" s="125"/>
      <c r="EJ3" s="125"/>
      <c r="EK3" s="125"/>
      <c r="EL3" s="125"/>
      <c r="EM3" s="125"/>
      <c r="EN3" s="125"/>
      <c r="EO3" s="125"/>
      <c r="EP3" s="125"/>
      <c r="EQ3" s="125"/>
      <c r="ER3" s="125"/>
      <c r="ES3" s="125"/>
      <c r="ET3" s="125"/>
      <c r="EU3" s="125"/>
      <c r="EV3" s="125"/>
      <c r="EW3" s="125"/>
      <c r="EX3" s="125"/>
      <c r="EY3" s="125"/>
      <c r="EZ3" s="125"/>
      <c r="FA3" s="125"/>
      <c r="FB3" s="125"/>
      <c r="FC3" s="125"/>
      <c r="FD3" s="125"/>
      <c r="FE3" s="125"/>
      <c r="FF3" s="125"/>
      <c r="FG3" s="125"/>
      <c r="FH3" s="125"/>
      <c r="FI3" s="125"/>
      <c r="FJ3" s="125"/>
      <c r="FK3" s="125"/>
      <c r="FL3" s="125"/>
      <c r="FM3" s="125"/>
      <c r="FN3" s="125"/>
      <c r="FO3" s="125"/>
      <c r="FP3" s="125"/>
      <c r="FQ3" s="125"/>
      <c r="FR3" s="125"/>
      <c r="FS3" s="125"/>
      <c r="FT3" s="125"/>
      <c r="FU3" s="125"/>
      <c r="FV3" s="125"/>
      <c r="FW3" s="125"/>
      <c r="FX3" s="125"/>
      <c r="FY3" s="125"/>
      <c r="FZ3" s="125"/>
      <c r="GA3" s="125"/>
      <c r="GB3" s="125"/>
      <c r="GC3" s="125"/>
      <c r="GD3" s="125"/>
      <c r="GE3" s="125"/>
      <c r="GF3" s="125"/>
      <c r="GG3" s="125"/>
      <c r="GH3" s="125"/>
      <c r="GI3" s="125"/>
      <c r="GJ3" s="125"/>
      <c r="GK3" s="125"/>
      <c r="GL3" s="125"/>
      <c r="GM3" s="125"/>
      <c r="GN3" s="125"/>
      <c r="GO3" s="125"/>
      <c r="GP3" s="125"/>
      <c r="GQ3" s="125"/>
      <c r="GR3" s="125"/>
      <c r="GS3" s="125"/>
      <c r="GT3" s="125"/>
      <c r="GU3" s="125"/>
      <c r="GV3" s="125"/>
      <c r="GW3" s="125"/>
      <c r="GX3" s="125"/>
      <c r="GY3" s="125"/>
      <c r="GZ3" s="125"/>
      <c r="HA3" s="125"/>
      <c r="HB3" s="125"/>
      <c r="HC3" s="125"/>
      <c r="HD3" s="125"/>
      <c r="HE3" s="125"/>
      <c r="HF3" s="125"/>
      <c r="HG3" s="125"/>
      <c r="HH3" s="125"/>
      <c r="HI3" s="125"/>
      <c r="HJ3" s="125"/>
      <c r="HK3" s="125"/>
      <c r="HL3" s="125"/>
      <c r="HM3" s="125"/>
      <c r="HN3" s="125"/>
      <c r="HO3" s="125"/>
      <c r="HP3" s="125"/>
      <c r="HQ3" s="125"/>
      <c r="HR3" s="125"/>
      <c r="HS3" s="125"/>
      <c r="HT3" s="125"/>
      <c r="HU3" s="125"/>
      <c r="HV3" s="125"/>
      <c r="HW3" s="125"/>
      <c r="HX3" s="125"/>
      <c r="HY3" s="125"/>
      <c r="HZ3" s="125"/>
      <c r="IA3" s="125"/>
      <c r="IB3" s="125"/>
      <c r="IC3" s="125"/>
      <c r="ID3" s="125"/>
      <c r="IE3" s="125"/>
      <c r="IF3" s="125"/>
      <c r="IG3" s="125"/>
    </row>
    <row r="4" spans="1:241" s="127" customFormat="1" ht="10.5" customHeight="1" x14ac:dyDescent="0.8">
      <c r="A4" s="285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  <c r="AA4" s="285"/>
      <c r="AB4" s="285"/>
      <c r="AC4" s="285"/>
      <c r="AD4" s="285"/>
      <c r="AE4" s="285"/>
      <c r="AF4" s="285"/>
      <c r="AG4" s="285"/>
      <c r="AH4" s="285"/>
      <c r="AI4" s="285"/>
      <c r="AJ4" s="285"/>
      <c r="AK4" s="285"/>
      <c r="AL4" s="285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  <c r="DG4" s="126"/>
      <c r="DH4" s="126"/>
      <c r="DI4" s="126"/>
      <c r="DJ4" s="126"/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26"/>
      <c r="EB4" s="126"/>
      <c r="EC4" s="126"/>
      <c r="ED4" s="126"/>
      <c r="EE4" s="126"/>
      <c r="EF4" s="126"/>
      <c r="EG4" s="126"/>
      <c r="EH4" s="126"/>
      <c r="EI4" s="126"/>
      <c r="EJ4" s="126"/>
      <c r="EK4" s="126"/>
      <c r="EL4" s="126"/>
      <c r="EM4" s="126"/>
      <c r="EN4" s="126"/>
      <c r="EO4" s="126"/>
      <c r="EP4" s="126"/>
      <c r="EQ4" s="126"/>
      <c r="ER4" s="126"/>
      <c r="ES4" s="126"/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6"/>
      <c r="FY4" s="126"/>
      <c r="FZ4" s="126"/>
      <c r="GA4" s="126"/>
      <c r="GB4" s="126"/>
      <c r="GC4" s="126"/>
      <c r="GD4" s="126"/>
      <c r="GE4" s="126"/>
      <c r="GF4" s="126"/>
      <c r="GG4" s="126"/>
      <c r="GH4" s="126"/>
      <c r="GI4" s="126"/>
      <c r="GJ4" s="126"/>
      <c r="GK4" s="126"/>
      <c r="GL4" s="126"/>
      <c r="GM4" s="126"/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/>
      <c r="HM4" s="126"/>
      <c r="HN4" s="126"/>
      <c r="HO4" s="126"/>
      <c r="HP4" s="126"/>
      <c r="HQ4" s="126"/>
      <c r="HR4" s="126"/>
      <c r="HS4" s="126"/>
      <c r="HT4" s="126"/>
      <c r="HU4" s="126"/>
      <c r="HV4" s="126"/>
      <c r="HW4" s="126"/>
      <c r="HX4" s="126"/>
      <c r="HY4" s="126"/>
      <c r="HZ4" s="126"/>
      <c r="IA4" s="126"/>
      <c r="IB4" s="126"/>
      <c r="IC4" s="126"/>
      <c r="ID4" s="126"/>
      <c r="IE4" s="126"/>
      <c r="IF4" s="126"/>
      <c r="IG4" s="126"/>
    </row>
    <row r="5" spans="1:241" ht="34.799999999999997" x14ac:dyDescent="0.9">
      <c r="A5" s="128" t="s">
        <v>439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9"/>
      <c r="Q5" s="128"/>
      <c r="R5" s="128"/>
      <c r="S5" s="128"/>
      <c r="T5" s="128" t="s">
        <v>440</v>
      </c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  <c r="CC5" s="130"/>
      <c r="CD5" s="130"/>
      <c r="CE5" s="130"/>
      <c r="CF5" s="130"/>
      <c r="CG5" s="130"/>
      <c r="CH5" s="130"/>
      <c r="CI5" s="130"/>
      <c r="CJ5" s="130"/>
      <c r="CK5" s="130"/>
      <c r="CL5" s="130"/>
      <c r="CM5" s="130"/>
      <c r="CN5" s="130"/>
      <c r="CO5" s="130"/>
      <c r="CP5" s="130"/>
      <c r="CQ5" s="130"/>
      <c r="CR5" s="130"/>
      <c r="CS5" s="130"/>
      <c r="CT5" s="130"/>
      <c r="CU5" s="130"/>
      <c r="CV5" s="130"/>
      <c r="CW5" s="130"/>
      <c r="CX5" s="130"/>
      <c r="CY5" s="130"/>
      <c r="CZ5" s="130"/>
      <c r="DA5" s="130"/>
      <c r="DB5" s="130"/>
      <c r="DC5" s="130"/>
      <c r="DD5" s="130"/>
      <c r="DE5" s="130"/>
      <c r="DF5" s="130"/>
      <c r="DG5" s="130"/>
      <c r="DH5" s="130"/>
      <c r="DI5" s="130"/>
      <c r="DJ5" s="130"/>
      <c r="DK5" s="130"/>
      <c r="DL5" s="130"/>
      <c r="DM5" s="130"/>
      <c r="DN5" s="130"/>
      <c r="DO5" s="130"/>
      <c r="DP5" s="130"/>
      <c r="DQ5" s="130"/>
      <c r="DR5" s="130"/>
      <c r="DS5" s="130"/>
      <c r="DT5" s="130"/>
      <c r="DU5" s="130"/>
      <c r="DV5" s="130"/>
      <c r="DW5" s="130"/>
      <c r="DX5" s="130"/>
      <c r="DY5" s="130"/>
      <c r="DZ5" s="130"/>
      <c r="EA5" s="130"/>
      <c r="EB5" s="130"/>
      <c r="EC5" s="130"/>
      <c r="ED5" s="130"/>
      <c r="EE5" s="130"/>
      <c r="EF5" s="130"/>
      <c r="EG5" s="130"/>
      <c r="EH5" s="130"/>
      <c r="EI5" s="130"/>
      <c r="EJ5" s="130"/>
      <c r="EK5" s="130"/>
      <c r="EL5" s="130"/>
      <c r="EM5" s="130"/>
      <c r="EN5" s="130"/>
      <c r="EO5" s="130"/>
      <c r="EP5" s="130"/>
      <c r="EQ5" s="130"/>
      <c r="ER5" s="130"/>
      <c r="ES5" s="130"/>
      <c r="ET5" s="130"/>
      <c r="EU5" s="130"/>
      <c r="EV5" s="130"/>
      <c r="EW5" s="130"/>
      <c r="EX5" s="130"/>
      <c r="EY5" s="130"/>
      <c r="EZ5" s="130"/>
      <c r="FA5" s="130"/>
      <c r="FB5" s="130"/>
      <c r="FC5" s="130"/>
      <c r="FD5" s="130"/>
      <c r="FE5" s="130"/>
      <c r="FF5" s="130"/>
      <c r="FG5" s="130"/>
      <c r="FH5" s="130"/>
      <c r="FI5" s="130"/>
      <c r="FJ5" s="130"/>
      <c r="FK5" s="130"/>
      <c r="FL5" s="130"/>
      <c r="FM5" s="130"/>
      <c r="FN5" s="130"/>
      <c r="FO5" s="130"/>
      <c r="FP5" s="130"/>
      <c r="FQ5" s="130"/>
      <c r="FR5" s="130"/>
      <c r="FS5" s="130"/>
      <c r="FT5" s="130"/>
      <c r="FU5" s="130"/>
      <c r="FV5" s="130"/>
      <c r="FW5" s="130"/>
      <c r="FX5" s="130"/>
      <c r="FY5" s="130"/>
      <c r="FZ5" s="130"/>
      <c r="GA5" s="130"/>
      <c r="GB5" s="130"/>
      <c r="GC5" s="130"/>
      <c r="GD5" s="130"/>
      <c r="GE5" s="130"/>
      <c r="GF5" s="130"/>
      <c r="GG5" s="130"/>
      <c r="GH5" s="130"/>
      <c r="GI5" s="130"/>
      <c r="GJ5" s="130"/>
      <c r="GK5" s="130"/>
      <c r="GL5" s="130"/>
      <c r="GM5" s="130"/>
      <c r="GN5" s="130"/>
      <c r="GO5" s="130"/>
      <c r="GP5" s="130"/>
      <c r="GQ5" s="130"/>
      <c r="GR5" s="130"/>
      <c r="GS5" s="130"/>
      <c r="GT5" s="130"/>
      <c r="GU5" s="130"/>
      <c r="GV5" s="130"/>
      <c r="GW5" s="130"/>
      <c r="GX5" s="130"/>
      <c r="GY5" s="130"/>
      <c r="GZ5" s="130"/>
      <c r="HA5" s="130"/>
      <c r="HB5" s="130"/>
      <c r="HC5" s="130"/>
      <c r="HD5" s="130"/>
      <c r="HE5" s="130"/>
      <c r="HF5" s="130"/>
      <c r="HG5" s="130"/>
      <c r="HH5" s="130"/>
      <c r="HI5" s="130"/>
      <c r="HJ5" s="130"/>
      <c r="HK5" s="130"/>
      <c r="HL5" s="130"/>
      <c r="HM5" s="130"/>
      <c r="HN5" s="130"/>
      <c r="HO5" s="130"/>
      <c r="HP5" s="130"/>
      <c r="HQ5" s="130"/>
      <c r="HR5" s="130"/>
      <c r="HS5" s="130"/>
      <c r="HT5" s="130"/>
      <c r="HU5" s="130"/>
      <c r="HV5" s="130"/>
      <c r="HW5" s="130"/>
      <c r="HX5" s="130"/>
      <c r="HY5" s="130"/>
      <c r="HZ5" s="130"/>
      <c r="IA5" s="130"/>
      <c r="IB5" s="130"/>
      <c r="IC5" s="130"/>
      <c r="ID5" s="130"/>
      <c r="IE5" s="130"/>
      <c r="IF5" s="130"/>
      <c r="IG5" s="130"/>
    </row>
    <row r="6" spans="1:241" ht="36.6" x14ac:dyDescent="1.05">
      <c r="A6" s="131" t="s">
        <v>441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29"/>
      <c r="Q6" s="131"/>
      <c r="R6" s="131"/>
      <c r="S6" s="131"/>
      <c r="T6" s="131" t="s">
        <v>442</v>
      </c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  <c r="CK6" s="125"/>
      <c r="CL6" s="125"/>
      <c r="CM6" s="125"/>
      <c r="CN6" s="125"/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125"/>
      <c r="DA6" s="125"/>
      <c r="DB6" s="125"/>
      <c r="DC6" s="125"/>
      <c r="DD6" s="125"/>
      <c r="DE6" s="125"/>
      <c r="DF6" s="125"/>
      <c r="DG6" s="125"/>
      <c r="DH6" s="125"/>
      <c r="DI6" s="125"/>
      <c r="DJ6" s="125"/>
      <c r="DK6" s="125"/>
      <c r="DL6" s="125"/>
      <c r="DM6" s="125"/>
      <c r="DN6" s="125"/>
      <c r="DO6" s="125"/>
      <c r="DP6" s="125"/>
      <c r="DQ6" s="125"/>
      <c r="DR6" s="125"/>
      <c r="DS6" s="125"/>
      <c r="DT6" s="125"/>
      <c r="DU6" s="125"/>
      <c r="DV6" s="125"/>
      <c r="DW6" s="125"/>
      <c r="DX6" s="125"/>
      <c r="DY6" s="125"/>
      <c r="DZ6" s="125"/>
      <c r="EA6" s="125"/>
      <c r="EB6" s="125"/>
      <c r="EC6" s="125"/>
      <c r="ED6" s="125"/>
      <c r="EE6" s="125"/>
      <c r="EF6" s="125"/>
      <c r="EG6" s="125"/>
      <c r="EH6" s="125"/>
      <c r="EI6" s="125"/>
      <c r="EJ6" s="125"/>
      <c r="EK6" s="125"/>
      <c r="EL6" s="125"/>
      <c r="EM6" s="125"/>
      <c r="EN6" s="125"/>
      <c r="EO6" s="125"/>
      <c r="EP6" s="125"/>
      <c r="EQ6" s="125"/>
      <c r="ER6" s="125"/>
      <c r="ES6" s="125"/>
      <c r="ET6" s="125"/>
      <c r="EU6" s="125"/>
      <c r="EV6" s="125"/>
      <c r="EW6" s="125"/>
      <c r="EX6" s="125"/>
      <c r="EY6" s="125"/>
      <c r="EZ6" s="125"/>
      <c r="FA6" s="125"/>
      <c r="FB6" s="125"/>
      <c r="FC6" s="125"/>
      <c r="FD6" s="125"/>
      <c r="FE6" s="125"/>
      <c r="FF6" s="125"/>
      <c r="FG6" s="125"/>
      <c r="FH6" s="125"/>
      <c r="FI6" s="125"/>
      <c r="FJ6" s="125"/>
      <c r="FK6" s="125"/>
      <c r="FL6" s="125"/>
      <c r="FM6" s="125"/>
      <c r="FN6" s="125"/>
      <c r="FO6" s="125"/>
      <c r="FP6" s="125"/>
      <c r="FQ6" s="125"/>
      <c r="FR6" s="125"/>
      <c r="FS6" s="125"/>
      <c r="FT6" s="125"/>
      <c r="FU6" s="125"/>
      <c r="FV6" s="125"/>
      <c r="FW6" s="125"/>
      <c r="FX6" s="125"/>
      <c r="FY6" s="125"/>
      <c r="FZ6" s="125"/>
      <c r="GA6" s="125"/>
      <c r="GB6" s="125"/>
      <c r="GC6" s="125"/>
      <c r="GD6" s="125"/>
      <c r="GE6" s="125"/>
      <c r="GF6" s="125"/>
      <c r="GG6" s="125"/>
      <c r="GH6" s="125"/>
      <c r="GI6" s="125"/>
      <c r="GJ6" s="125"/>
      <c r="GK6" s="125"/>
      <c r="GL6" s="125"/>
      <c r="GM6" s="125"/>
      <c r="GN6" s="125"/>
      <c r="GO6" s="125"/>
      <c r="GP6" s="125"/>
    </row>
    <row r="7" spans="1:241" ht="36.6" x14ac:dyDescent="1.05">
      <c r="A7" s="131" t="s">
        <v>443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29"/>
      <c r="Q7" s="131"/>
      <c r="R7" s="131"/>
      <c r="S7" s="131"/>
      <c r="T7" s="131" t="s">
        <v>444</v>
      </c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  <c r="CW7" s="125"/>
      <c r="CX7" s="125"/>
      <c r="CY7" s="125"/>
      <c r="CZ7" s="125"/>
      <c r="DA7" s="125"/>
      <c r="DB7" s="125"/>
      <c r="DC7" s="125"/>
      <c r="DD7" s="125"/>
      <c r="DE7" s="125"/>
      <c r="DF7" s="125"/>
      <c r="DG7" s="125"/>
      <c r="DH7" s="125"/>
      <c r="DI7" s="125"/>
      <c r="DJ7" s="125"/>
      <c r="DK7" s="125"/>
      <c r="DL7" s="125"/>
      <c r="DM7" s="125"/>
      <c r="DN7" s="125"/>
      <c r="DO7" s="125"/>
      <c r="DP7" s="125"/>
      <c r="DQ7" s="125"/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5"/>
      <c r="FR7" s="125"/>
      <c r="FS7" s="125"/>
      <c r="FT7" s="125"/>
      <c r="FU7" s="125"/>
      <c r="FV7" s="125"/>
      <c r="FW7" s="125"/>
      <c r="FX7" s="125"/>
      <c r="FY7" s="125"/>
      <c r="FZ7" s="125"/>
      <c r="GA7" s="125"/>
      <c r="GB7" s="125"/>
      <c r="GC7" s="125"/>
      <c r="GD7" s="125"/>
      <c r="GE7" s="125"/>
      <c r="GF7" s="125"/>
      <c r="GG7" s="125"/>
      <c r="GH7" s="125"/>
      <c r="GI7" s="125"/>
      <c r="GJ7" s="125"/>
      <c r="GK7" s="125"/>
      <c r="GL7" s="125"/>
      <c r="GM7" s="125"/>
      <c r="GN7" s="125"/>
      <c r="GO7" s="125"/>
      <c r="GP7" s="125"/>
    </row>
    <row r="8" spans="1:241" ht="36.6" x14ac:dyDescent="1.05">
      <c r="A8" s="128" t="s">
        <v>445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9"/>
      <c r="Q8" s="128"/>
      <c r="R8" s="128"/>
      <c r="S8" s="128"/>
      <c r="T8" s="131" t="s">
        <v>446</v>
      </c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  <c r="BN8" s="130"/>
      <c r="BO8" s="130"/>
      <c r="BP8" s="130"/>
      <c r="BQ8" s="130"/>
      <c r="BR8" s="130"/>
      <c r="BS8" s="130"/>
      <c r="BT8" s="130"/>
      <c r="BU8" s="130"/>
      <c r="BV8" s="130"/>
      <c r="BW8" s="130"/>
      <c r="BX8" s="130"/>
      <c r="BY8" s="130"/>
      <c r="BZ8" s="130"/>
      <c r="CA8" s="130"/>
      <c r="CB8" s="130"/>
      <c r="CC8" s="130"/>
      <c r="CD8" s="130"/>
      <c r="CE8" s="130"/>
      <c r="CF8" s="130"/>
      <c r="CG8" s="130"/>
      <c r="CH8" s="130"/>
      <c r="CI8" s="130"/>
      <c r="CJ8" s="130"/>
      <c r="CK8" s="130"/>
      <c r="CL8" s="130"/>
      <c r="CM8" s="130"/>
      <c r="CN8" s="130"/>
      <c r="CO8" s="130"/>
      <c r="CP8" s="130"/>
      <c r="CQ8" s="130"/>
      <c r="CR8" s="130"/>
      <c r="CS8" s="130"/>
      <c r="CT8" s="130"/>
      <c r="CU8" s="130"/>
      <c r="CV8" s="130"/>
      <c r="CW8" s="130"/>
      <c r="CX8" s="130"/>
      <c r="CY8" s="130"/>
      <c r="CZ8" s="130"/>
      <c r="DA8" s="130"/>
      <c r="DB8" s="130"/>
      <c r="DC8" s="130"/>
      <c r="DD8" s="130"/>
      <c r="DE8" s="130"/>
      <c r="DF8" s="130"/>
      <c r="DG8" s="130"/>
      <c r="DH8" s="130"/>
      <c r="DI8" s="130"/>
      <c r="DJ8" s="130"/>
      <c r="DK8" s="130"/>
      <c r="DL8" s="130"/>
      <c r="DM8" s="130"/>
      <c r="DN8" s="130"/>
      <c r="DO8" s="130"/>
      <c r="DP8" s="130"/>
      <c r="DQ8" s="130"/>
      <c r="DR8" s="130"/>
      <c r="DS8" s="130"/>
      <c r="DT8" s="130"/>
      <c r="DU8" s="130"/>
      <c r="DV8" s="130"/>
      <c r="DW8" s="130"/>
      <c r="DX8" s="130"/>
      <c r="DY8" s="130"/>
      <c r="DZ8" s="130"/>
      <c r="EA8" s="130"/>
      <c r="EB8" s="130"/>
      <c r="EC8" s="130"/>
      <c r="ED8" s="130"/>
      <c r="EE8" s="130"/>
      <c r="EF8" s="130"/>
      <c r="EG8" s="130"/>
      <c r="EH8" s="130"/>
      <c r="EI8" s="130"/>
      <c r="EJ8" s="130"/>
      <c r="EK8" s="130"/>
      <c r="EL8" s="130"/>
      <c r="EM8" s="130"/>
      <c r="EN8" s="130"/>
      <c r="EO8" s="130"/>
      <c r="EP8" s="130"/>
      <c r="EQ8" s="130"/>
      <c r="ER8" s="130"/>
      <c r="ES8" s="130"/>
      <c r="ET8" s="130"/>
      <c r="EU8" s="130"/>
      <c r="EV8" s="130"/>
      <c r="EW8" s="130"/>
      <c r="EX8" s="130"/>
      <c r="EY8" s="130"/>
      <c r="EZ8" s="130"/>
      <c r="FA8" s="130"/>
      <c r="FB8" s="130"/>
      <c r="FC8" s="130"/>
      <c r="FD8" s="130"/>
      <c r="FE8" s="130"/>
      <c r="FF8" s="130"/>
      <c r="FG8" s="130"/>
      <c r="FH8" s="130"/>
      <c r="FI8" s="130"/>
      <c r="FJ8" s="130"/>
      <c r="FK8" s="130"/>
      <c r="FL8" s="130"/>
      <c r="FM8" s="130"/>
      <c r="FN8" s="130"/>
      <c r="FO8" s="130"/>
      <c r="FP8" s="130"/>
      <c r="FQ8" s="130"/>
      <c r="FR8" s="130"/>
      <c r="FS8" s="130"/>
      <c r="FT8" s="130"/>
      <c r="FU8" s="130"/>
      <c r="FV8" s="130"/>
      <c r="FW8" s="130"/>
      <c r="FX8" s="130"/>
      <c r="FY8" s="130"/>
      <c r="FZ8" s="130"/>
      <c r="GA8" s="130"/>
      <c r="GB8" s="130"/>
      <c r="GC8" s="130"/>
      <c r="GD8" s="130"/>
      <c r="GE8" s="130"/>
      <c r="GF8" s="130"/>
      <c r="GG8" s="130"/>
      <c r="GH8" s="130"/>
      <c r="GI8" s="130"/>
      <c r="GJ8" s="130"/>
      <c r="GK8" s="130"/>
      <c r="GL8" s="130"/>
      <c r="GM8" s="130"/>
      <c r="GN8" s="130"/>
      <c r="GO8" s="130"/>
      <c r="GP8" s="130"/>
      <c r="GQ8" s="130"/>
      <c r="GR8" s="130"/>
      <c r="GS8" s="130"/>
      <c r="GT8" s="130"/>
      <c r="GU8" s="130"/>
      <c r="GV8" s="130"/>
      <c r="GW8" s="130"/>
      <c r="GX8" s="130"/>
      <c r="GY8" s="130"/>
      <c r="GZ8" s="130"/>
      <c r="HA8" s="130"/>
      <c r="HB8" s="130"/>
      <c r="HC8" s="130"/>
      <c r="HD8" s="130"/>
      <c r="HE8" s="130"/>
      <c r="HF8" s="130"/>
      <c r="HG8" s="130"/>
      <c r="HH8" s="130"/>
      <c r="HI8" s="130"/>
      <c r="HJ8" s="130"/>
      <c r="HK8" s="130"/>
      <c r="HL8" s="130"/>
      <c r="HM8" s="130"/>
      <c r="HN8" s="130"/>
      <c r="HO8" s="130"/>
      <c r="HP8" s="130"/>
      <c r="HQ8" s="130"/>
      <c r="HR8" s="130"/>
      <c r="HS8" s="130"/>
      <c r="HT8" s="130"/>
      <c r="HU8" s="130"/>
      <c r="HV8" s="130"/>
      <c r="HW8" s="130"/>
      <c r="HX8" s="130"/>
      <c r="HY8" s="130"/>
      <c r="HZ8" s="130"/>
      <c r="IA8" s="130"/>
      <c r="IB8" s="130"/>
      <c r="IC8" s="130"/>
      <c r="ID8" s="130"/>
      <c r="IE8" s="130"/>
      <c r="IF8" s="130"/>
      <c r="IG8" s="130"/>
    </row>
    <row r="9" spans="1:241" ht="36.6" x14ac:dyDescent="1.05">
      <c r="A9" s="131" t="s">
        <v>447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29"/>
      <c r="Q9" s="131"/>
      <c r="R9" s="131"/>
      <c r="S9" s="131"/>
      <c r="T9" s="131" t="s">
        <v>448</v>
      </c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  <c r="CL9" s="125"/>
      <c r="CM9" s="125"/>
      <c r="CN9" s="125"/>
      <c r="CO9" s="125"/>
      <c r="CP9" s="125"/>
      <c r="CQ9" s="125"/>
      <c r="CR9" s="125"/>
      <c r="CS9" s="125"/>
      <c r="CT9" s="125"/>
      <c r="CU9" s="125"/>
      <c r="CV9" s="125"/>
      <c r="CW9" s="125"/>
      <c r="CX9" s="125"/>
      <c r="CY9" s="125"/>
      <c r="CZ9" s="125"/>
      <c r="DA9" s="125"/>
      <c r="DB9" s="125"/>
      <c r="DC9" s="125"/>
      <c r="DD9" s="125"/>
      <c r="DE9" s="125"/>
      <c r="DF9" s="125"/>
      <c r="DG9" s="125"/>
      <c r="DH9" s="125"/>
      <c r="DI9" s="125"/>
      <c r="DJ9" s="125"/>
      <c r="DK9" s="125"/>
      <c r="DL9" s="125"/>
      <c r="DM9" s="125"/>
      <c r="DN9" s="125"/>
      <c r="DO9" s="125"/>
      <c r="DP9" s="125"/>
      <c r="DQ9" s="125"/>
      <c r="DR9" s="125"/>
      <c r="DS9" s="125"/>
      <c r="DT9" s="125"/>
      <c r="DU9" s="125"/>
      <c r="DV9" s="125"/>
      <c r="DW9" s="125"/>
      <c r="DX9" s="125"/>
      <c r="DY9" s="125"/>
      <c r="DZ9" s="125"/>
      <c r="EA9" s="125"/>
      <c r="EB9" s="125"/>
      <c r="EC9" s="125"/>
      <c r="ED9" s="125"/>
      <c r="EE9" s="125"/>
      <c r="EF9" s="125"/>
      <c r="EG9" s="125"/>
      <c r="EH9" s="125"/>
      <c r="EI9" s="125"/>
      <c r="EJ9" s="125"/>
      <c r="EK9" s="125"/>
      <c r="EL9" s="125"/>
      <c r="EM9" s="125"/>
      <c r="EN9" s="125"/>
      <c r="EO9" s="125"/>
      <c r="EP9" s="125"/>
      <c r="EQ9" s="125"/>
      <c r="ER9" s="125"/>
      <c r="ES9" s="125"/>
      <c r="ET9" s="125"/>
      <c r="EU9" s="125"/>
      <c r="EV9" s="125"/>
      <c r="EW9" s="125"/>
      <c r="EX9" s="125"/>
      <c r="EY9" s="125"/>
      <c r="EZ9" s="125"/>
      <c r="FA9" s="125"/>
      <c r="FB9" s="125"/>
      <c r="FC9" s="125"/>
      <c r="FD9" s="125"/>
      <c r="FE9" s="125"/>
      <c r="FF9" s="125"/>
      <c r="FG9" s="125"/>
      <c r="FH9" s="125"/>
      <c r="FI9" s="125"/>
      <c r="FJ9" s="125"/>
      <c r="FK9" s="125"/>
      <c r="FL9" s="125"/>
      <c r="FM9" s="125"/>
      <c r="FN9" s="125"/>
      <c r="FO9" s="125"/>
      <c r="FP9" s="125"/>
      <c r="FQ9" s="125"/>
      <c r="FR9" s="125"/>
      <c r="FS9" s="125"/>
      <c r="FT9" s="125"/>
      <c r="FU9" s="125"/>
      <c r="FV9" s="125"/>
      <c r="FW9" s="125"/>
      <c r="FX9" s="125"/>
      <c r="FY9" s="125"/>
      <c r="FZ9" s="125"/>
      <c r="GA9" s="125"/>
      <c r="GB9" s="125"/>
      <c r="GC9" s="125"/>
      <c r="GD9" s="125"/>
      <c r="GE9" s="125"/>
      <c r="GF9" s="125"/>
      <c r="GG9" s="125"/>
      <c r="GH9" s="125"/>
      <c r="GI9" s="125"/>
      <c r="GJ9" s="125"/>
      <c r="GK9" s="125"/>
      <c r="GL9" s="125"/>
      <c r="GM9" s="125"/>
      <c r="GN9" s="125"/>
      <c r="GO9" s="125"/>
    </row>
    <row r="10" spans="1:241" ht="36.6" x14ac:dyDescent="1.05">
      <c r="A10" s="131" t="s">
        <v>449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29"/>
      <c r="Q10" s="131"/>
      <c r="R10" s="131"/>
      <c r="S10" s="131"/>
      <c r="T10" s="131" t="s">
        <v>450</v>
      </c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  <c r="CW10" s="125"/>
      <c r="CX10" s="125"/>
      <c r="CY10" s="125"/>
      <c r="CZ10" s="125"/>
      <c r="DA10" s="125"/>
      <c r="DB10" s="125"/>
      <c r="DC10" s="125"/>
      <c r="DD10" s="125"/>
      <c r="DE10" s="125"/>
      <c r="DF10" s="125"/>
      <c r="DG10" s="125"/>
      <c r="DH10" s="125"/>
      <c r="DI10" s="125"/>
      <c r="DJ10" s="125"/>
      <c r="DK10" s="125"/>
      <c r="DL10" s="125"/>
      <c r="DM10" s="125"/>
      <c r="DN10" s="125"/>
      <c r="DO10" s="125"/>
      <c r="DP10" s="125"/>
      <c r="DQ10" s="125"/>
      <c r="DR10" s="125"/>
      <c r="DS10" s="125"/>
      <c r="DT10" s="125"/>
      <c r="DU10" s="125"/>
      <c r="DV10" s="125"/>
      <c r="DW10" s="125"/>
      <c r="DX10" s="125"/>
      <c r="DY10" s="125"/>
      <c r="DZ10" s="125"/>
      <c r="EA10" s="125"/>
      <c r="EB10" s="125"/>
      <c r="EC10" s="125"/>
      <c r="ED10" s="125"/>
      <c r="EE10" s="125"/>
      <c r="EF10" s="125"/>
      <c r="EG10" s="125"/>
      <c r="EH10" s="125"/>
      <c r="EI10" s="125"/>
      <c r="EJ10" s="125"/>
      <c r="EK10" s="125"/>
      <c r="EL10" s="125"/>
      <c r="EM10" s="125"/>
      <c r="EN10" s="125"/>
      <c r="EO10" s="125"/>
      <c r="EP10" s="125"/>
      <c r="EQ10" s="125"/>
      <c r="ER10" s="125"/>
      <c r="ES10" s="125"/>
      <c r="ET10" s="125"/>
      <c r="EU10" s="125"/>
      <c r="EV10" s="125"/>
      <c r="EW10" s="125"/>
      <c r="EX10" s="125"/>
      <c r="EY10" s="125"/>
      <c r="EZ10" s="125"/>
      <c r="FA10" s="125"/>
      <c r="FB10" s="125"/>
      <c r="FC10" s="125"/>
      <c r="FD10" s="125"/>
      <c r="FE10" s="125"/>
      <c r="FF10" s="125"/>
      <c r="FG10" s="125"/>
      <c r="FH10" s="125"/>
      <c r="FI10" s="125"/>
      <c r="FJ10" s="125"/>
      <c r="FK10" s="125"/>
      <c r="FL10" s="125"/>
      <c r="FM10" s="125"/>
      <c r="FN10" s="125"/>
      <c r="FO10" s="125"/>
      <c r="FP10" s="125"/>
      <c r="FQ10" s="125"/>
      <c r="FR10" s="125"/>
      <c r="FS10" s="125"/>
      <c r="FT10" s="125"/>
      <c r="FU10" s="125"/>
      <c r="FV10" s="125"/>
      <c r="FW10" s="125"/>
      <c r="FX10" s="125"/>
      <c r="FY10" s="125"/>
      <c r="FZ10" s="125"/>
      <c r="GA10" s="125"/>
      <c r="GB10" s="125"/>
      <c r="GC10" s="125"/>
      <c r="GD10" s="125"/>
      <c r="GE10" s="125"/>
      <c r="GF10" s="125"/>
      <c r="GG10" s="125"/>
      <c r="GH10" s="125"/>
      <c r="GI10" s="125"/>
      <c r="GJ10" s="125"/>
      <c r="GK10" s="125"/>
      <c r="GL10" s="125"/>
      <c r="GM10" s="125"/>
      <c r="GN10" s="125"/>
      <c r="GO10" s="125"/>
    </row>
    <row r="11" spans="1:241" ht="36.6" x14ac:dyDescent="1.05">
      <c r="A11" s="131" t="s">
        <v>451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29"/>
      <c r="Q11" s="131"/>
      <c r="R11" s="131"/>
      <c r="S11" s="131"/>
      <c r="T11" s="131" t="s">
        <v>11</v>
      </c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  <c r="CK11" s="125"/>
      <c r="CL11" s="125"/>
      <c r="CM11" s="125"/>
      <c r="CN11" s="125"/>
      <c r="CO11" s="125"/>
      <c r="CP11" s="125"/>
      <c r="CQ11" s="125"/>
      <c r="CR11" s="125"/>
      <c r="CS11" s="125"/>
      <c r="CT11" s="125"/>
      <c r="CU11" s="125"/>
      <c r="CV11" s="125"/>
      <c r="CW11" s="125"/>
      <c r="CX11" s="125"/>
      <c r="CY11" s="125"/>
      <c r="CZ11" s="125"/>
      <c r="DA11" s="125"/>
      <c r="DB11" s="125"/>
      <c r="DC11" s="125"/>
      <c r="DD11" s="125"/>
      <c r="DE11" s="125"/>
      <c r="DF11" s="125"/>
      <c r="DG11" s="125"/>
      <c r="DH11" s="125"/>
      <c r="DI11" s="125"/>
      <c r="DJ11" s="125"/>
      <c r="DK11" s="125"/>
      <c r="DL11" s="125"/>
      <c r="DM11" s="125"/>
      <c r="DN11" s="125"/>
      <c r="DO11" s="125"/>
      <c r="DP11" s="125"/>
      <c r="DQ11" s="125"/>
      <c r="DR11" s="125"/>
      <c r="DS11" s="125"/>
      <c r="DT11" s="125"/>
      <c r="DU11" s="125"/>
      <c r="DV11" s="125"/>
      <c r="DW11" s="125"/>
      <c r="DX11" s="125"/>
      <c r="DY11" s="125"/>
      <c r="DZ11" s="125"/>
      <c r="EA11" s="125"/>
      <c r="EB11" s="125"/>
      <c r="EC11" s="125"/>
      <c r="ED11" s="125"/>
      <c r="EE11" s="125"/>
      <c r="EF11" s="125"/>
      <c r="EG11" s="125"/>
      <c r="EH11" s="125"/>
      <c r="EI11" s="125"/>
      <c r="EJ11" s="125"/>
      <c r="EK11" s="125"/>
      <c r="EL11" s="125"/>
      <c r="EM11" s="125"/>
      <c r="EN11" s="125"/>
      <c r="EO11" s="125"/>
      <c r="EP11" s="125"/>
      <c r="EQ11" s="125"/>
      <c r="ER11" s="125"/>
      <c r="ES11" s="125"/>
      <c r="ET11" s="125"/>
      <c r="EU11" s="125"/>
      <c r="EV11" s="125"/>
      <c r="EW11" s="125"/>
      <c r="EX11" s="125"/>
      <c r="EY11" s="125"/>
      <c r="EZ11" s="125"/>
      <c r="FA11" s="125"/>
      <c r="FB11" s="125"/>
      <c r="FC11" s="125"/>
      <c r="FD11" s="125"/>
      <c r="FE11" s="125"/>
      <c r="FF11" s="125"/>
      <c r="FG11" s="125"/>
      <c r="FH11" s="125"/>
      <c r="FI11" s="125"/>
      <c r="FJ11" s="125"/>
      <c r="FK11" s="125"/>
      <c r="FL11" s="125"/>
      <c r="FM11" s="125"/>
      <c r="FN11" s="125"/>
      <c r="FO11" s="125"/>
      <c r="FP11" s="125"/>
      <c r="FQ11" s="125"/>
      <c r="FR11" s="125"/>
      <c r="FS11" s="125"/>
      <c r="FT11" s="125"/>
      <c r="FU11" s="125"/>
      <c r="FV11" s="125"/>
      <c r="FW11" s="125"/>
      <c r="FX11" s="125"/>
      <c r="FY11" s="125"/>
      <c r="FZ11" s="125"/>
      <c r="GA11" s="125"/>
      <c r="GB11" s="125"/>
      <c r="GC11" s="125"/>
      <c r="GD11" s="125"/>
      <c r="GE11" s="125"/>
      <c r="GF11" s="125"/>
      <c r="GG11" s="125"/>
      <c r="GH11" s="125"/>
      <c r="GI11" s="125"/>
      <c r="GJ11" s="125"/>
      <c r="GK11" s="125"/>
      <c r="GL11" s="125"/>
      <c r="GM11" s="125"/>
      <c r="GN11" s="125"/>
      <c r="GO11" s="125"/>
    </row>
    <row r="12" spans="1:241" ht="36.6" x14ac:dyDescent="1.05">
      <c r="A12" s="131" t="s">
        <v>452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29"/>
      <c r="Q12" s="131"/>
      <c r="R12" s="131"/>
      <c r="S12" s="131"/>
      <c r="T12" s="131" t="s">
        <v>453</v>
      </c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  <c r="CK12" s="125"/>
      <c r="CL12" s="125"/>
      <c r="CM12" s="125"/>
      <c r="CN12" s="125"/>
      <c r="CO12" s="125"/>
      <c r="CP12" s="125"/>
      <c r="CQ12" s="125"/>
      <c r="CR12" s="125"/>
      <c r="CS12" s="125"/>
      <c r="CT12" s="125"/>
      <c r="CU12" s="125"/>
      <c r="CV12" s="125"/>
      <c r="CW12" s="125"/>
      <c r="CX12" s="125"/>
      <c r="CY12" s="125"/>
      <c r="CZ12" s="125"/>
      <c r="DA12" s="125"/>
      <c r="DB12" s="125"/>
      <c r="DC12" s="125"/>
      <c r="DD12" s="125"/>
      <c r="DE12" s="125"/>
      <c r="DF12" s="125"/>
      <c r="DG12" s="125"/>
      <c r="DH12" s="125"/>
      <c r="DI12" s="125"/>
      <c r="DJ12" s="125"/>
      <c r="DK12" s="125"/>
      <c r="DL12" s="125"/>
      <c r="DM12" s="125"/>
      <c r="DN12" s="125"/>
      <c r="DO12" s="125"/>
      <c r="DP12" s="125"/>
      <c r="DQ12" s="125"/>
      <c r="DR12" s="125"/>
      <c r="DS12" s="125"/>
      <c r="DT12" s="125"/>
      <c r="DU12" s="125"/>
      <c r="DV12" s="125"/>
      <c r="DW12" s="125"/>
      <c r="DX12" s="125"/>
      <c r="DY12" s="125"/>
      <c r="DZ12" s="125"/>
      <c r="EA12" s="125"/>
      <c r="EB12" s="125"/>
      <c r="EC12" s="125"/>
      <c r="ED12" s="125"/>
      <c r="EE12" s="125"/>
      <c r="EF12" s="125"/>
      <c r="EG12" s="125"/>
      <c r="EH12" s="125"/>
      <c r="EI12" s="125"/>
      <c r="EJ12" s="125"/>
      <c r="EK12" s="125"/>
      <c r="EL12" s="125"/>
      <c r="EM12" s="125"/>
      <c r="EN12" s="125"/>
      <c r="EO12" s="125"/>
      <c r="EP12" s="125"/>
      <c r="EQ12" s="125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25"/>
      <c r="FL12" s="125"/>
      <c r="FM12" s="125"/>
      <c r="FN12" s="125"/>
      <c r="FO12" s="125"/>
      <c r="FP12" s="125"/>
      <c r="FQ12" s="125"/>
      <c r="FR12" s="125"/>
      <c r="FS12" s="125"/>
      <c r="FT12" s="125"/>
      <c r="FU12" s="125"/>
      <c r="FV12" s="125"/>
      <c r="FW12" s="125"/>
      <c r="FX12" s="125"/>
      <c r="FY12" s="125"/>
      <c r="FZ12" s="125"/>
      <c r="GA12" s="125"/>
      <c r="GB12" s="125"/>
      <c r="GC12" s="125"/>
      <c r="GD12" s="125"/>
      <c r="GE12" s="125"/>
      <c r="GF12" s="125"/>
      <c r="GG12" s="125"/>
      <c r="GH12" s="125"/>
      <c r="GI12" s="125"/>
      <c r="GJ12" s="125"/>
      <c r="GK12" s="125"/>
      <c r="GL12" s="125"/>
      <c r="GM12" s="125"/>
      <c r="GN12" s="125"/>
      <c r="GO12" s="125"/>
    </row>
    <row r="13" spans="1:241" ht="36.6" x14ac:dyDescent="1.05">
      <c r="A13" s="131" t="s">
        <v>454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29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  <c r="CK13" s="125"/>
      <c r="CL13" s="125"/>
      <c r="CM13" s="125"/>
      <c r="CN13" s="125"/>
      <c r="CO13" s="125"/>
      <c r="CP13" s="125"/>
      <c r="CQ13" s="125"/>
      <c r="CR13" s="125"/>
      <c r="CS13" s="125"/>
      <c r="CT13" s="125"/>
      <c r="CU13" s="125"/>
      <c r="CV13" s="125"/>
      <c r="CW13" s="125"/>
      <c r="CX13" s="125"/>
      <c r="CY13" s="125"/>
      <c r="CZ13" s="125"/>
      <c r="DA13" s="125"/>
      <c r="DB13" s="125"/>
      <c r="DC13" s="125"/>
      <c r="DD13" s="125"/>
      <c r="DE13" s="125"/>
      <c r="DF13" s="125"/>
      <c r="DG13" s="125"/>
      <c r="DH13" s="125"/>
      <c r="DI13" s="125"/>
      <c r="DJ13" s="125"/>
      <c r="DK13" s="125"/>
      <c r="DL13" s="125"/>
      <c r="DM13" s="125"/>
      <c r="DN13" s="125"/>
      <c r="DO13" s="125"/>
      <c r="DP13" s="125"/>
      <c r="DQ13" s="125"/>
      <c r="DR13" s="125"/>
      <c r="DS13" s="125"/>
      <c r="DT13" s="125"/>
      <c r="DU13" s="125"/>
      <c r="DV13" s="125"/>
      <c r="DW13" s="125"/>
      <c r="DX13" s="125"/>
      <c r="DY13" s="125"/>
      <c r="DZ13" s="125"/>
      <c r="EA13" s="125"/>
      <c r="EB13" s="125"/>
      <c r="EC13" s="125"/>
      <c r="ED13" s="125"/>
      <c r="EE13" s="125"/>
      <c r="EF13" s="125"/>
      <c r="EG13" s="125"/>
      <c r="EH13" s="125"/>
      <c r="EI13" s="125"/>
      <c r="EJ13" s="125"/>
      <c r="EK13" s="125"/>
      <c r="EL13" s="125"/>
      <c r="EM13" s="125"/>
      <c r="EN13" s="125"/>
      <c r="EO13" s="125"/>
      <c r="EP13" s="125"/>
      <c r="EQ13" s="125"/>
      <c r="ER13" s="125"/>
      <c r="ES13" s="125"/>
      <c r="ET13" s="125"/>
      <c r="EU13" s="125"/>
      <c r="EV13" s="125"/>
      <c r="EW13" s="125"/>
      <c r="EX13" s="125"/>
      <c r="EY13" s="125"/>
      <c r="EZ13" s="125"/>
      <c r="FA13" s="125"/>
      <c r="FB13" s="125"/>
      <c r="FC13" s="125"/>
      <c r="FD13" s="125"/>
      <c r="FE13" s="125"/>
      <c r="FF13" s="125"/>
      <c r="FG13" s="125"/>
      <c r="FH13" s="125"/>
      <c r="FI13" s="125"/>
      <c r="FJ13" s="125"/>
      <c r="FK13" s="125"/>
      <c r="FL13" s="125"/>
      <c r="FM13" s="125"/>
      <c r="FN13" s="125"/>
      <c r="FO13" s="125"/>
      <c r="FP13" s="125"/>
      <c r="FQ13" s="125"/>
      <c r="FR13" s="125"/>
      <c r="FS13" s="125"/>
      <c r="FT13" s="125"/>
      <c r="FU13" s="125"/>
      <c r="FV13" s="125"/>
      <c r="FW13" s="125"/>
      <c r="FX13" s="125"/>
      <c r="FY13" s="125"/>
      <c r="FZ13" s="125"/>
      <c r="GA13" s="125"/>
      <c r="GB13" s="125"/>
      <c r="GC13" s="125"/>
      <c r="GD13" s="125"/>
      <c r="GE13" s="125"/>
      <c r="GF13" s="125"/>
      <c r="GG13" s="125"/>
      <c r="GH13" s="125"/>
      <c r="GI13" s="125"/>
      <c r="GJ13" s="125"/>
      <c r="GK13" s="125"/>
      <c r="GL13" s="125"/>
      <c r="GM13" s="125"/>
      <c r="GN13" s="125"/>
      <c r="GO13" s="125"/>
    </row>
    <row r="14" spans="1:241" ht="36.6" x14ac:dyDescent="1.05">
      <c r="A14" s="131" t="s">
        <v>450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29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  <c r="CK14" s="125"/>
      <c r="CL14" s="125"/>
      <c r="CM14" s="125"/>
      <c r="CN14" s="125"/>
      <c r="CO14" s="125"/>
      <c r="CP14" s="125"/>
      <c r="CQ14" s="125"/>
      <c r="CR14" s="125"/>
      <c r="CS14" s="125"/>
      <c r="CT14" s="125"/>
      <c r="CU14" s="125"/>
      <c r="CV14" s="125"/>
      <c r="CW14" s="125"/>
      <c r="CX14" s="125"/>
      <c r="CY14" s="125"/>
      <c r="CZ14" s="125"/>
      <c r="DA14" s="125"/>
      <c r="DB14" s="125"/>
      <c r="DC14" s="125"/>
      <c r="DD14" s="125"/>
      <c r="DE14" s="125"/>
      <c r="DF14" s="125"/>
      <c r="DG14" s="125"/>
      <c r="DH14" s="125"/>
      <c r="DI14" s="125"/>
      <c r="DJ14" s="125"/>
      <c r="DK14" s="125"/>
      <c r="DL14" s="125"/>
      <c r="DM14" s="125"/>
      <c r="DN14" s="125"/>
      <c r="DO14" s="125"/>
      <c r="DP14" s="125"/>
      <c r="DQ14" s="125"/>
      <c r="DR14" s="125"/>
      <c r="DS14" s="125"/>
      <c r="DT14" s="125"/>
      <c r="DU14" s="125"/>
      <c r="DV14" s="125"/>
      <c r="DW14" s="125"/>
      <c r="DX14" s="125"/>
      <c r="DY14" s="125"/>
      <c r="DZ14" s="125"/>
      <c r="EA14" s="125"/>
      <c r="EB14" s="125"/>
      <c r="EC14" s="125"/>
      <c r="ED14" s="125"/>
      <c r="EE14" s="125"/>
      <c r="EF14" s="125"/>
      <c r="EG14" s="125"/>
      <c r="EH14" s="125"/>
      <c r="EI14" s="125"/>
      <c r="EJ14" s="125"/>
      <c r="EK14" s="125"/>
      <c r="EL14" s="125"/>
      <c r="EM14" s="125"/>
      <c r="EN14" s="125"/>
      <c r="EO14" s="125"/>
      <c r="EP14" s="125"/>
      <c r="EQ14" s="125"/>
      <c r="ER14" s="125"/>
      <c r="ES14" s="125"/>
      <c r="ET14" s="125"/>
      <c r="EU14" s="125"/>
      <c r="EV14" s="125"/>
      <c r="EW14" s="125"/>
      <c r="EX14" s="125"/>
      <c r="EY14" s="125"/>
      <c r="EZ14" s="125"/>
      <c r="FA14" s="125"/>
      <c r="FB14" s="125"/>
      <c r="FC14" s="125"/>
      <c r="FD14" s="125"/>
      <c r="FE14" s="125"/>
      <c r="FF14" s="125"/>
      <c r="FG14" s="125"/>
      <c r="FH14" s="125"/>
      <c r="FI14" s="125"/>
      <c r="FJ14" s="125"/>
      <c r="FK14" s="125"/>
      <c r="FL14" s="125"/>
      <c r="FM14" s="125"/>
      <c r="FN14" s="125"/>
      <c r="FO14" s="125"/>
      <c r="FP14" s="125"/>
      <c r="FQ14" s="125"/>
      <c r="FR14" s="125"/>
      <c r="FS14" s="125"/>
      <c r="FT14" s="125"/>
      <c r="FU14" s="125"/>
      <c r="FV14" s="125"/>
      <c r="FW14" s="125"/>
      <c r="FX14" s="125"/>
      <c r="FY14" s="125"/>
      <c r="FZ14" s="125"/>
      <c r="GA14" s="125"/>
      <c r="GB14" s="125"/>
      <c r="GC14" s="125"/>
      <c r="GD14" s="125"/>
      <c r="GE14" s="125"/>
      <c r="GF14" s="125"/>
      <c r="GG14" s="125"/>
      <c r="GH14" s="125"/>
      <c r="GI14" s="125"/>
      <c r="GJ14" s="125"/>
      <c r="GK14" s="125"/>
      <c r="GL14" s="125"/>
      <c r="GM14" s="125"/>
      <c r="GN14" s="125"/>
      <c r="GO14" s="125"/>
    </row>
    <row r="15" spans="1:241" ht="36.6" x14ac:dyDescent="1.05">
      <c r="A15" s="128" t="s">
        <v>455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29"/>
      <c r="Q15" s="131"/>
      <c r="R15" s="131"/>
      <c r="S15" s="131"/>
      <c r="T15" s="128" t="s">
        <v>456</v>
      </c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  <c r="CK15" s="125"/>
      <c r="CL15" s="125"/>
      <c r="CM15" s="125"/>
      <c r="CN15" s="125"/>
      <c r="CO15" s="125"/>
      <c r="CP15" s="125"/>
      <c r="CQ15" s="125"/>
      <c r="CR15" s="125"/>
      <c r="CS15" s="125"/>
      <c r="CT15" s="125"/>
      <c r="CU15" s="125"/>
      <c r="CV15" s="125"/>
      <c r="CW15" s="125"/>
      <c r="CX15" s="125"/>
      <c r="CY15" s="125"/>
      <c r="CZ15" s="125"/>
      <c r="DA15" s="125"/>
      <c r="DB15" s="125"/>
      <c r="DC15" s="125"/>
      <c r="DD15" s="125"/>
      <c r="DE15" s="125"/>
      <c r="DF15" s="125"/>
      <c r="DG15" s="125"/>
      <c r="DH15" s="125"/>
      <c r="DI15" s="125"/>
      <c r="DJ15" s="125"/>
      <c r="DK15" s="125"/>
      <c r="DL15" s="125"/>
      <c r="DM15" s="125"/>
      <c r="DN15" s="125"/>
      <c r="DO15" s="125"/>
      <c r="DP15" s="125"/>
      <c r="DQ15" s="125"/>
      <c r="DR15" s="125"/>
      <c r="DS15" s="125"/>
      <c r="DT15" s="125"/>
      <c r="DU15" s="125"/>
      <c r="DV15" s="125"/>
      <c r="DW15" s="125"/>
      <c r="DX15" s="125"/>
      <c r="DY15" s="125"/>
      <c r="DZ15" s="125"/>
      <c r="EA15" s="125"/>
      <c r="EB15" s="125"/>
      <c r="EC15" s="125"/>
      <c r="ED15" s="125"/>
      <c r="EE15" s="125"/>
      <c r="EF15" s="125"/>
      <c r="EG15" s="125"/>
      <c r="EH15" s="125"/>
      <c r="EI15" s="125"/>
      <c r="EJ15" s="125"/>
      <c r="EK15" s="125"/>
      <c r="EL15" s="125"/>
      <c r="EM15" s="125"/>
      <c r="EN15" s="125"/>
      <c r="EO15" s="125"/>
      <c r="EP15" s="125"/>
      <c r="EQ15" s="125"/>
      <c r="ER15" s="125"/>
      <c r="ES15" s="125"/>
      <c r="ET15" s="125"/>
      <c r="EU15" s="125"/>
      <c r="EV15" s="125"/>
      <c r="EW15" s="125"/>
      <c r="EX15" s="125"/>
      <c r="EY15" s="125"/>
      <c r="EZ15" s="125"/>
      <c r="FA15" s="125"/>
      <c r="FB15" s="125"/>
      <c r="FC15" s="125"/>
      <c r="FD15" s="125"/>
      <c r="FE15" s="125"/>
      <c r="FF15" s="125"/>
      <c r="FG15" s="125"/>
      <c r="FH15" s="125"/>
      <c r="FI15" s="125"/>
      <c r="FJ15" s="125"/>
      <c r="FK15" s="125"/>
      <c r="FL15" s="125"/>
      <c r="FM15" s="125"/>
      <c r="FN15" s="125"/>
      <c r="FO15" s="125"/>
      <c r="FP15" s="125"/>
      <c r="FQ15" s="125"/>
      <c r="FR15" s="125"/>
      <c r="FS15" s="125"/>
      <c r="FT15" s="125"/>
      <c r="FU15" s="125"/>
      <c r="FV15" s="125"/>
      <c r="FW15" s="125"/>
      <c r="FX15" s="125"/>
      <c r="FY15" s="125"/>
      <c r="FZ15" s="125"/>
      <c r="GA15" s="125"/>
      <c r="GB15" s="125"/>
      <c r="GC15" s="125"/>
      <c r="GD15" s="125"/>
      <c r="GE15" s="125"/>
      <c r="GF15" s="125"/>
      <c r="GG15" s="125"/>
      <c r="GH15" s="125"/>
      <c r="GI15" s="125"/>
      <c r="GJ15" s="125"/>
      <c r="GK15" s="125"/>
      <c r="GL15" s="125"/>
      <c r="GM15" s="125"/>
      <c r="GN15" s="125"/>
      <c r="GO15" s="125"/>
      <c r="GP15" s="125"/>
      <c r="GQ15" s="125"/>
      <c r="GR15" s="125"/>
      <c r="GS15" s="125"/>
      <c r="GT15" s="125"/>
      <c r="GU15" s="125"/>
      <c r="GV15" s="125"/>
      <c r="GW15" s="125"/>
      <c r="GX15" s="125"/>
      <c r="GY15" s="125"/>
      <c r="GZ15" s="125"/>
      <c r="HA15" s="125"/>
      <c r="HB15" s="125"/>
      <c r="HC15" s="125"/>
      <c r="HD15" s="125"/>
      <c r="HE15" s="125"/>
      <c r="HF15" s="125"/>
      <c r="HG15" s="125"/>
      <c r="HH15" s="125"/>
      <c r="HI15" s="125"/>
      <c r="HJ15" s="125"/>
      <c r="HK15" s="125"/>
      <c r="HL15" s="125"/>
      <c r="HM15" s="125"/>
      <c r="HN15" s="125"/>
      <c r="HO15" s="125"/>
      <c r="HP15" s="125"/>
      <c r="HQ15" s="125"/>
      <c r="HR15" s="125"/>
      <c r="HS15" s="125"/>
      <c r="HT15" s="125"/>
      <c r="HU15" s="125"/>
      <c r="HV15" s="125"/>
      <c r="HW15" s="125"/>
      <c r="HX15" s="125"/>
      <c r="HY15" s="125"/>
      <c r="HZ15" s="125"/>
      <c r="IA15" s="125"/>
      <c r="IB15" s="125"/>
      <c r="IC15" s="125"/>
      <c r="ID15" s="125"/>
      <c r="IE15" s="125"/>
      <c r="IF15" s="125"/>
      <c r="IG15" s="125"/>
    </row>
    <row r="16" spans="1:241" ht="36.6" x14ac:dyDescent="1.05">
      <c r="A16" s="131" t="s">
        <v>457</v>
      </c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1" t="s">
        <v>458</v>
      </c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  <c r="DN16" s="125"/>
      <c r="DO16" s="125"/>
      <c r="DP16" s="125"/>
      <c r="DQ16" s="125"/>
      <c r="DR16" s="125"/>
      <c r="DS16" s="125"/>
      <c r="DT16" s="125"/>
      <c r="DU16" s="125"/>
      <c r="DV16" s="125"/>
      <c r="DW16" s="125"/>
      <c r="DX16" s="125"/>
      <c r="DY16" s="125"/>
      <c r="DZ16" s="125"/>
      <c r="EA16" s="125"/>
      <c r="EB16" s="125"/>
      <c r="EC16" s="125"/>
      <c r="ED16" s="125"/>
      <c r="EE16" s="125"/>
      <c r="EF16" s="125"/>
      <c r="EG16" s="125"/>
      <c r="EH16" s="125"/>
      <c r="EI16" s="125"/>
      <c r="EJ16" s="125"/>
      <c r="EK16" s="125"/>
      <c r="EL16" s="125"/>
      <c r="EM16" s="125"/>
      <c r="EN16" s="125"/>
      <c r="EO16" s="125"/>
      <c r="EP16" s="125"/>
      <c r="EQ16" s="125"/>
      <c r="ER16" s="125"/>
      <c r="ES16" s="125"/>
      <c r="ET16" s="125"/>
      <c r="EU16" s="125"/>
      <c r="EV16" s="125"/>
      <c r="EW16" s="125"/>
      <c r="EX16" s="125"/>
      <c r="EY16" s="125"/>
      <c r="EZ16" s="125"/>
      <c r="FA16" s="125"/>
      <c r="FB16" s="125"/>
      <c r="FC16" s="125"/>
      <c r="FD16" s="125"/>
      <c r="FE16" s="125"/>
      <c r="FF16" s="125"/>
      <c r="FG16" s="125"/>
      <c r="FH16" s="125"/>
      <c r="FI16" s="125"/>
      <c r="FJ16" s="125"/>
      <c r="FK16" s="125"/>
      <c r="FL16" s="125"/>
      <c r="FM16" s="125"/>
      <c r="FN16" s="125"/>
      <c r="FO16" s="125"/>
      <c r="FP16" s="125"/>
      <c r="FQ16" s="125"/>
      <c r="FR16" s="125"/>
      <c r="FS16" s="125"/>
      <c r="FT16" s="125"/>
      <c r="FU16" s="125"/>
      <c r="FV16" s="125"/>
      <c r="FW16" s="125"/>
      <c r="FX16" s="125"/>
      <c r="FY16" s="125"/>
      <c r="FZ16" s="125"/>
      <c r="GA16" s="125"/>
      <c r="GB16" s="125"/>
      <c r="GC16" s="125"/>
      <c r="GD16" s="125"/>
      <c r="GE16" s="125"/>
      <c r="GF16" s="125"/>
      <c r="GG16" s="125"/>
      <c r="GH16" s="125"/>
      <c r="GI16" s="125"/>
      <c r="GJ16" s="125"/>
      <c r="GK16" s="125"/>
      <c r="GL16" s="125"/>
      <c r="GM16" s="125"/>
      <c r="GN16" s="125"/>
      <c r="GO16" s="125"/>
      <c r="GP16" s="125"/>
      <c r="GQ16" s="125"/>
      <c r="GR16" s="125"/>
      <c r="GS16" s="125"/>
      <c r="GT16" s="125"/>
      <c r="GU16" s="125"/>
      <c r="GV16" s="125"/>
      <c r="GW16" s="125"/>
      <c r="GX16" s="125"/>
      <c r="GY16" s="125"/>
      <c r="GZ16" s="125"/>
      <c r="HA16" s="125"/>
      <c r="HB16" s="125"/>
      <c r="HC16" s="125"/>
      <c r="HD16" s="125"/>
      <c r="HE16" s="125"/>
      <c r="HF16" s="125"/>
      <c r="HG16" s="125"/>
      <c r="HH16" s="125"/>
      <c r="HI16" s="125"/>
      <c r="HJ16" s="125"/>
      <c r="HK16" s="125"/>
      <c r="HL16" s="125"/>
      <c r="HM16" s="125"/>
      <c r="HN16" s="125"/>
      <c r="HO16" s="125"/>
      <c r="HP16" s="125"/>
      <c r="HQ16" s="125"/>
      <c r="HR16" s="125"/>
      <c r="HS16" s="125"/>
      <c r="HT16" s="125"/>
      <c r="HU16" s="125"/>
      <c r="HV16" s="125"/>
      <c r="HW16" s="125"/>
      <c r="HX16" s="125"/>
      <c r="HY16" s="125"/>
      <c r="HZ16" s="125"/>
      <c r="IA16" s="125"/>
      <c r="IB16" s="125"/>
      <c r="IC16" s="125"/>
      <c r="ID16" s="125"/>
      <c r="IE16" s="125"/>
      <c r="IF16" s="125"/>
      <c r="IG16" s="125"/>
    </row>
    <row r="17" spans="1:241" ht="36.6" x14ac:dyDescent="1.05">
      <c r="A17" s="131" t="s">
        <v>459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9"/>
      <c r="Q17" s="128"/>
      <c r="R17" s="128"/>
      <c r="S17" s="128"/>
      <c r="T17" s="131" t="s">
        <v>460</v>
      </c>
      <c r="U17" s="131"/>
      <c r="V17" s="131"/>
      <c r="W17" s="131"/>
      <c r="X17" s="131"/>
      <c r="Y17" s="128"/>
      <c r="Z17" s="128"/>
      <c r="AA17" s="128"/>
      <c r="AB17" s="128"/>
      <c r="AC17" s="128"/>
      <c r="AD17" s="128"/>
      <c r="AE17" s="128"/>
      <c r="AF17" s="131"/>
      <c r="AG17" s="131"/>
      <c r="AH17" s="131"/>
      <c r="AI17" s="131"/>
      <c r="AJ17" s="131"/>
      <c r="AK17" s="131"/>
      <c r="AL17" s="130"/>
      <c r="AM17" s="130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30"/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  <c r="CE17" s="130"/>
      <c r="CF17" s="130"/>
      <c r="CG17" s="130"/>
      <c r="CH17" s="130"/>
      <c r="CI17" s="130"/>
      <c r="CJ17" s="130"/>
      <c r="CK17" s="130"/>
      <c r="CL17" s="130"/>
      <c r="CM17" s="130"/>
      <c r="CN17" s="130"/>
      <c r="CO17" s="130"/>
      <c r="CP17" s="130"/>
      <c r="CQ17" s="130"/>
      <c r="CR17" s="130"/>
      <c r="CS17" s="130"/>
      <c r="CT17" s="130"/>
      <c r="CU17" s="130"/>
      <c r="CV17" s="130"/>
      <c r="CW17" s="130"/>
      <c r="CX17" s="130"/>
      <c r="CY17" s="130"/>
      <c r="CZ17" s="130"/>
      <c r="DA17" s="130"/>
      <c r="DB17" s="130"/>
      <c r="DC17" s="130"/>
      <c r="DD17" s="130"/>
      <c r="DE17" s="130"/>
      <c r="DF17" s="130"/>
      <c r="DG17" s="130"/>
      <c r="DH17" s="130"/>
      <c r="DI17" s="130"/>
      <c r="DJ17" s="130"/>
      <c r="DK17" s="130"/>
      <c r="DL17" s="130"/>
      <c r="DM17" s="130"/>
      <c r="DN17" s="130"/>
      <c r="DO17" s="130"/>
      <c r="DP17" s="130"/>
      <c r="DQ17" s="130"/>
      <c r="DR17" s="130"/>
      <c r="DS17" s="130"/>
      <c r="DT17" s="130"/>
      <c r="DU17" s="130"/>
      <c r="DV17" s="130"/>
      <c r="DW17" s="130"/>
      <c r="DX17" s="130"/>
      <c r="DY17" s="130"/>
      <c r="DZ17" s="130"/>
      <c r="EA17" s="130"/>
      <c r="EB17" s="130"/>
      <c r="EC17" s="130"/>
      <c r="ED17" s="130"/>
      <c r="EE17" s="130"/>
      <c r="EF17" s="130"/>
      <c r="EG17" s="130"/>
      <c r="EH17" s="130"/>
      <c r="EI17" s="130"/>
      <c r="EJ17" s="130"/>
      <c r="EK17" s="130"/>
      <c r="EL17" s="130"/>
      <c r="EM17" s="130"/>
      <c r="EN17" s="130"/>
      <c r="EO17" s="130"/>
      <c r="EP17" s="130"/>
      <c r="EQ17" s="130"/>
      <c r="ER17" s="130"/>
      <c r="ES17" s="130"/>
      <c r="ET17" s="130"/>
      <c r="EU17" s="130"/>
      <c r="EV17" s="130"/>
      <c r="EW17" s="130"/>
      <c r="EX17" s="130"/>
      <c r="EY17" s="130"/>
      <c r="EZ17" s="130"/>
      <c r="FA17" s="130"/>
      <c r="FB17" s="130"/>
      <c r="FC17" s="130"/>
      <c r="FD17" s="130"/>
      <c r="FE17" s="130"/>
      <c r="FF17" s="130"/>
      <c r="FG17" s="130"/>
      <c r="FH17" s="130"/>
      <c r="FI17" s="130"/>
      <c r="FJ17" s="130"/>
      <c r="FK17" s="130"/>
      <c r="FL17" s="130"/>
      <c r="FM17" s="130"/>
      <c r="FN17" s="130"/>
      <c r="FO17" s="130"/>
      <c r="FP17" s="130"/>
      <c r="FQ17" s="130"/>
      <c r="FR17" s="130"/>
      <c r="FS17" s="130"/>
      <c r="FT17" s="130"/>
      <c r="FU17" s="130"/>
      <c r="FV17" s="130"/>
      <c r="FW17" s="130"/>
      <c r="FX17" s="130"/>
      <c r="FY17" s="130"/>
      <c r="FZ17" s="130"/>
      <c r="GA17" s="130"/>
      <c r="GB17" s="130"/>
      <c r="GC17" s="130"/>
      <c r="GD17" s="130"/>
      <c r="GE17" s="130"/>
      <c r="GF17" s="130"/>
      <c r="GG17" s="130"/>
      <c r="GH17" s="130"/>
      <c r="GI17" s="130"/>
      <c r="GJ17" s="130"/>
      <c r="GK17" s="130"/>
      <c r="GL17" s="130"/>
      <c r="GM17" s="130"/>
      <c r="GN17" s="130"/>
      <c r="GO17" s="130"/>
      <c r="GP17" s="130"/>
      <c r="GQ17" s="130"/>
      <c r="GR17" s="130"/>
      <c r="GS17" s="130"/>
      <c r="GT17" s="130"/>
      <c r="GU17" s="130"/>
      <c r="GV17" s="130"/>
      <c r="GW17" s="130"/>
      <c r="GX17" s="130"/>
      <c r="GY17" s="130"/>
      <c r="GZ17" s="130"/>
      <c r="HA17" s="130"/>
      <c r="HB17" s="130"/>
      <c r="HC17" s="130"/>
      <c r="HD17" s="130"/>
      <c r="HE17" s="130"/>
      <c r="HF17" s="130"/>
      <c r="HG17" s="130"/>
      <c r="HH17" s="130"/>
      <c r="HI17" s="130"/>
      <c r="HJ17" s="130"/>
      <c r="HK17" s="130"/>
      <c r="HL17" s="130"/>
      <c r="HM17" s="130"/>
      <c r="HN17" s="130"/>
      <c r="HO17" s="130"/>
      <c r="HP17" s="130"/>
      <c r="HQ17" s="130"/>
      <c r="HR17" s="130"/>
      <c r="HS17" s="130"/>
      <c r="HT17" s="130"/>
      <c r="HU17" s="130"/>
      <c r="HV17" s="130"/>
      <c r="HW17" s="130"/>
      <c r="HX17" s="130"/>
      <c r="HY17" s="130"/>
      <c r="HZ17" s="130"/>
      <c r="IA17" s="130"/>
      <c r="IB17" s="130"/>
      <c r="IC17" s="130"/>
      <c r="ID17" s="130"/>
      <c r="IE17" s="130"/>
      <c r="IF17" s="130"/>
      <c r="IG17" s="130"/>
    </row>
    <row r="18" spans="1:241" ht="36.6" x14ac:dyDescent="1.05">
      <c r="A18" s="131" t="s">
        <v>461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29"/>
      <c r="Q18" s="131"/>
      <c r="R18" s="131"/>
      <c r="S18" s="131"/>
      <c r="T18" s="131" t="s">
        <v>462</v>
      </c>
      <c r="U18" s="128"/>
      <c r="V18" s="128"/>
      <c r="W18" s="128"/>
      <c r="X18" s="128"/>
      <c r="Y18" s="131"/>
      <c r="Z18" s="131"/>
      <c r="AA18" s="131"/>
      <c r="AB18" s="131"/>
      <c r="AC18" s="131"/>
      <c r="AD18" s="131"/>
      <c r="AE18" s="131"/>
      <c r="AF18" s="128"/>
      <c r="AG18" s="131"/>
      <c r="AH18" s="131"/>
      <c r="AI18" s="131"/>
      <c r="AJ18" s="131"/>
      <c r="AK18" s="131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  <c r="CY18" s="125"/>
      <c r="CZ18" s="125"/>
      <c r="DA18" s="125"/>
      <c r="DB18" s="125"/>
      <c r="DC18" s="125"/>
      <c r="DD18" s="125"/>
      <c r="DE18" s="125"/>
      <c r="DF18" s="125"/>
      <c r="DG18" s="125"/>
      <c r="DH18" s="125"/>
      <c r="DI18" s="125"/>
      <c r="DJ18" s="125"/>
      <c r="DK18" s="125"/>
      <c r="DL18" s="125"/>
      <c r="DM18" s="125"/>
      <c r="DN18" s="125"/>
      <c r="DO18" s="125"/>
      <c r="DP18" s="125"/>
      <c r="DQ18" s="125"/>
      <c r="DR18" s="125"/>
      <c r="DS18" s="125"/>
      <c r="DT18" s="125"/>
      <c r="DU18" s="125"/>
      <c r="DV18" s="125"/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/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5"/>
      <c r="FQ18" s="125"/>
      <c r="FR18" s="125"/>
      <c r="FS18" s="125"/>
      <c r="FT18" s="125"/>
      <c r="FU18" s="125"/>
      <c r="FV18" s="125"/>
      <c r="FW18" s="125"/>
      <c r="FX18" s="125"/>
      <c r="FY18" s="125"/>
      <c r="FZ18" s="125"/>
      <c r="GA18" s="125"/>
      <c r="GB18" s="125"/>
      <c r="GC18" s="125"/>
      <c r="GD18" s="125"/>
      <c r="GE18" s="125"/>
      <c r="GF18" s="125"/>
      <c r="GG18" s="125"/>
      <c r="GH18" s="125"/>
      <c r="GI18" s="125"/>
      <c r="GJ18" s="125"/>
      <c r="GK18" s="125"/>
      <c r="GL18" s="125"/>
      <c r="GM18" s="125"/>
      <c r="GN18" s="125"/>
      <c r="GO18" s="125"/>
      <c r="GP18" s="125"/>
    </row>
    <row r="19" spans="1:241" ht="36.6" x14ac:dyDescent="1.05">
      <c r="A19" s="131" t="s">
        <v>463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29"/>
      <c r="Q19" s="131"/>
      <c r="R19" s="131"/>
      <c r="S19" s="131"/>
      <c r="T19" s="131" t="s">
        <v>464</v>
      </c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28"/>
      <c r="AH19" s="128"/>
      <c r="AI19" s="128"/>
      <c r="AJ19" s="128"/>
      <c r="AK19" s="128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5"/>
      <c r="CR19" s="125"/>
      <c r="CS19" s="125"/>
      <c r="CT19" s="125"/>
      <c r="CU19" s="125"/>
      <c r="CV19" s="125"/>
      <c r="CW19" s="125"/>
      <c r="CX19" s="125"/>
      <c r="CY19" s="125"/>
      <c r="CZ19" s="125"/>
      <c r="DA19" s="125"/>
      <c r="DB19" s="125"/>
      <c r="DC19" s="125"/>
      <c r="DD19" s="125"/>
      <c r="DE19" s="125"/>
      <c r="DF19" s="125"/>
      <c r="DG19" s="125"/>
      <c r="DH19" s="125"/>
      <c r="DI19" s="125"/>
      <c r="DJ19" s="125"/>
      <c r="DK19" s="125"/>
      <c r="DL19" s="125"/>
      <c r="DM19" s="125"/>
      <c r="DN19" s="125"/>
      <c r="DO19" s="125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  <c r="FQ19" s="125"/>
      <c r="FR19" s="125"/>
      <c r="FS19" s="125"/>
      <c r="FT19" s="125"/>
      <c r="FU19" s="125"/>
      <c r="FV19" s="125"/>
      <c r="FW19" s="125"/>
      <c r="FX19" s="125"/>
      <c r="FY19" s="125"/>
      <c r="FZ19" s="125"/>
      <c r="GA19" s="125"/>
      <c r="GB19" s="125"/>
      <c r="GC19" s="125"/>
      <c r="GD19" s="125"/>
      <c r="GE19" s="125"/>
      <c r="GF19" s="125"/>
      <c r="GG19" s="125"/>
      <c r="GH19" s="125"/>
      <c r="GI19" s="125"/>
      <c r="GJ19" s="125"/>
      <c r="GK19" s="125"/>
      <c r="GL19" s="125"/>
      <c r="GM19" s="125"/>
      <c r="GN19" s="125"/>
      <c r="GO19" s="125"/>
      <c r="GP19" s="125"/>
    </row>
    <row r="20" spans="1:241" ht="36.6" x14ac:dyDescent="1.05">
      <c r="A20" s="131" t="s">
        <v>465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29"/>
      <c r="Q20" s="131"/>
      <c r="R20" s="131"/>
      <c r="S20" s="131"/>
      <c r="T20" s="131" t="s">
        <v>466</v>
      </c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  <c r="CK20" s="125"/>
      <c r="CL20" s="125"/>
      <c r="CM20" s="125"/>
      <c r="CN20" s="125"/>
      <c r="CO20" s="125"/>
      <c r="CP20" s="125"/>
      <c r="CQ20" s="125"/>
      <c r="CR20" s="125"/>
      <c r="CS20" s="125"/>
      <c r="CT20" s="125"/>
      <c r="CU20" s="125"/>
      <c r="CV20" s="125"/>
      <c r="CW20" s="125"/>
      <c r="CX20" s="125"/>
      <c r="CY20" s="125"/>
      <c r="CZ20" s="125"/>
      <c r="DA20" s="125"/>
      <c r="DB20" s="125"/>
      <c r="DC20" s="125"/>
      <c r="DD20" s="125"/>
      <c r="DE20" s="125"/>
      <c r="DF20" s="125"/>
      <c r="DG20" s="125"/>
      <c r="DH20" s="125"/>
      <c r="DI20" s="125"/>
      <c r="DJ20" s="125"/>
      <c r="DK20" s="125"/>
      <c r="DL20" s="125"/>
      <c r="DM20" s="125"/>
      <c r="DN20" s="125"/>
      <c r="DO20" s="125"/>
      <c r="DP20" s="125"/>
      <c r="DQ20" s="125"/>
      <c r="DR20" s="125"/>
      <c r="DS20" s="125"/>
      <c r="DT20" s="125"/>
      <c r="DU20" s="125"/>
      <c r="DV20" s="125"/>
      <c r="DW20" s="125"/>
      <c r="DX20" s="125"/>
      <c r="DY20" s="125"/>
      <c r="DZ20" s="125"/>
      <c r="EA20" s="125"/>
      <c r="EB20" s="125"/>
      <c r="EC20" s="125"/>
      <c r="ED20" s="125"/>
      <c r="EE20" s="125"/>
      <c r="EF20" s="125"/>
      <c r="EG20" s="125"/>
      <c r="EH20" s="125"/>
      <c r="EI20" s="125"/>
      <c r="EJ20" s="125"/>
      <c r="EK20" s="125"/>
      <c r="EL20" s="125"/>
      <c r="EM20" s="125"/>
      <c r="EN20" s="125"/>
      <c r="EO20" s="125"/>
      <c r="EP20" s="125"/>
      <c r="EQ20" s="125"/>
      <c r="ER20" s="125"/>
      <c r="ES20" s="125"/>
      <c r="ET20" s="125"/>
      <c r="EU20" s="125"/>
      <c r="EV20" s="125"/>
      <c r="EW20" s="125"/>
      <c r="EX20" s="125"/>
      <c r="EY20" s="125"/>
      <c r="EZ20" s="125"/>
      <c r="FA20" s="125"/>
      <c r="FB20" s="125"/>
      <c r="FC20" s="125"/>
      <c r="FD20" s="125"/>
      <c r="FE20" s="125"/>
      <c r="FF20" s="125"/>
      <c r="FG20" s="125"/>
      <c r="FH20" s="125"/>
      <c r="FI20" s="125"/>
      <c r="FJ20" s="125"/>
      <c r="FK20" s="125"/>
      <c r="FL20" s="125"/>
      <c r="FM20" s="125"/>
      <c r="FN20" s="125"/>
      <c r="FO20" s="125"/>
      <c r="FP20" s="125"/>
      <c r="FQ20" s="125"/>
      <c r="FR20" s="125"/>
      <c r="FS20" s="125"/>
      <c r="FT20" s="125"/>
      <c r="FU20" s="125"/>
      <c r="FV20" s="125"/>
      <c r="FW20" s="125"/>
      <c r="FX20" s="125"/>
      <c r="FY20" s="125"/>
      <c r="FZ20" s="125"/>
      <c r="GA20" s="125"/>
      <c r="GB20" s="125"/>
      <c r="GC20" s="125"/>
      <c r="GD20" s="125"/>
      <c r="GE20" s="125"/>
      <c r="GF20" s="125"/>
      <c r="GG20" s="125"/>
      <c r="GH20" s="125"/>
      <c r="GI20" s="125"/>
      <c r="GJ20" s="125"/>
      <c r="GK20" s="125"/>
      <c r="GL20" s="125"/>
      <c r="GM20" s="125"/>
      <c r="GN20" s="125"/>
      <c r="GO20" s="125"/>
      <c r="GP20" s="125"/>
    </row>
    <row r="21" spans="1:241" ht="36.6" x14ac:dyDescent="1.05">
      <c r="A21" s="131" t="s">
        <v>467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29"/>
      <c r="Q21" s="131"/>
      <c r="R21" s="131"/>
      <c r="S21" s="131"/>
      <c r="T21" s="133" t="s">
        <v>468</v>
      </c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  <c r="CK21" s="125"/>
      <c r="CL21" s="125"/>
      <c r="CM21" s="125"/>
      <c r="CN21" s="125"/>
      <c r="CO21" s="125"/>
      <c r="CP21" s="125"/>
      <c r="CQ21" s="125"/>
      <c r="CR21" s="125"/>
      <c r="CS21" s="125"/>
      <c r="CT21" s="125"/>
      <c r="CU21" s="125"/>
      <c r="CV21" s="125"/>
      <c r="CW21" s="125"/>
      <c r="CX21" s="125"/>
      <c r="CY21" s="125"/>
      <c r="CZ21" s="125"/>
      <c r="DA21" s="125"/>
      <c r="DB21" s="125"/>
      <c r="DC21" s="125"/>
      <c r="DD21" s="125"/>
      <c r="DE21" s="125"/>
      <c r="DF21" s="125"/>
      <c r="DG21" s="125"/>
      <c r="DH21" s="125"/>
      <c r="DI21" s="125"/>
      <c r="DJ21" s="125"/>
      <c r="DK21" s="125"/>
      <c r="DL21" s="125"/>
      <c r="DM21" s="125"/>
      <c r="DN21" s="125"/>
      <c r="DO21" s="125"/>
      <c r="DP21" s="125"/>
      <c r="DQ21" s="125"/>
      <c r="DR21" s="125"/>
      <c r="DS21" s="125"/>
      <c r="DT21" s="125"/>
      <c r="DU21" s="125"/>
      <c r="DV21" s="125"/>
      <c r="DW21" s="125"/>
      <c r="DX21" s="125"/>
      <c r="DY21" s="125"/>
      <c r="DZ21" s="125"/>
      <c r="EA21" s="125"/>
      <c r="EB21" s="125"/>
      <c r="EC21" s="125"/>
      <c r="ED21" s="125"/>
      <c r="EE21" s="125"/>
      <c r="EF21" s="125"/>
      <c r="EG21" s="125"/>
      <c r="EH21" s="125"/>
      <c r="EI21" s="125"/>
      <c r="EJ21" s="125"/>
      <c r="EK21" s="125"/>
      <c r="EL21" s="125"/>
      <c r="EM21" s="125"/>
      <c r="EN21" s="125"/>
      <c r="EO21" s="125"/>
      <c r="EP21" s="125"/>
      <c r="EQ21" s="125"/>
      <c r="ER21" s="125"/>
      <c r="ES21" s="125"/>
      <c r="ET21" s="125"/>
      <c r="EU21" s="125"/>
      <c r="EV21" s="125"/>
      <c r="EW21" s="125"/>
      <c r="EX21" s="125"/>
      <c r="EY21" s="125"/>
      <c r="EZ21" s="125"/>
      <c r="FA21" s="125"/>
      <c r="FB21" s="125"/>
      <c r="FC21" s="125"/>
      <c r="FD21" s="125"/>
      <c r="FE21" s="125"/>
      <c r="FF21" s="125"/>
      <c r="FG21" s="125"/>
      <c r="FH21" s="125"/>
      <c r="FI21" s="125"/>
      <c r="FJ21" s="125"/>
      <c r="FK21" s="125"/>
      <c r="FL21" s="125"/>
      <c r="FM21" s="125"/>
      <c r="FN21" s="125"/>
      <c r="FO21" s="125"/>
      <c r="FP21" s="125"/>
      <c r="FQ21" s="125"/>
      <c r="FR21" s="125"/>
      <c r="FS21" s="125"/>
      <c r="FT21" s="125"/>
      <c r="FU21" s="125"/>
      <c r="FV21" s="125"/>
      <c r="FW21" s="125"/>
      <c r="FX21" s="125"/>
      <c r="FY21" s="125"/>
      <c r="FZ21" s="125"/>
      <c r="GA21" s="125"/>
      <c r="GB21" s="125"/>
      <c r="GC21" s="125"/>
      <c r="GD21" s="125"/>
      <c r="GE21" s="125"/>
      <c r="GF21" s="125"/>
      <c r="GG21" s="125"/>
      <c r="GH21" s="125"/>
      <c r="GI21" s="125"/>
      <c r="GJ21" s="125"/>
      <c r="GK21" s="125"/>
      <c r="GL21" s="125"/>
      <c r="GM21" s="125"/>
      <c r="GN21" s="125"/>
      <c r="GO21" s="125"/>
      <c r="GP21" s="125"/>
    </row>
    <row r="22" spans="1:241" ht="36.6" x14ac:dyDescent="1.05">
      <c r="A22" s="131" t="s">
        <v>450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29"/>
      <c r="Q22" s="131"/>
      <c r="R22" s="131"/>
      <c r="S22" s="131"/>
      <c r="T22" s="131" t="s">
        <v>469</v>
      </c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  <c r="DB22" s="125"/>
      <c r="DC22" s="125"/>
      <c r="DD22" s="125"/>
      <c r="DE22" s="125"/>
      <c r="DF22" s="125"/>
      <c r="DG22" s="125"/>
      <c r="DH22" s="125"/>
      <c r="DI22" s="125"/>
      <c r="DJ22" s="125"/>
      <c r="DK22" s="125"/>
      <c r="DL22" s="125"/>
      <c r="DM22" s="125"/>
      <c r="DN22" s="125"/>
      <c r="DO22" s="125"/>
      <c r="DP22" s="125"/>
      <c r="DQ22" s="125"/>
      <c r="DR22" s="125"/>
      <c r="DS22" s="125"/>
      <c r="DT22" s="125"/>
      <c r="DU22" s="125"/>
      <c r="DV22" s="125"/>
      <c r="DW22" s="125"/>
      <c r="DX22" s="125"/>
      <c r="DY22" s="125"/>
      <c r="DZ22" s="125"/>
      <c r="EA22" s="125"/>
      <c r="EB22" s="125"/>
      <c r="EC22" s="125"/>
      <c r="ED22" s="125"/>
      <c r="EE22" s="125"/>
      <c r="EF22" s="125"/>
      <c r="EG22" s="125"/>
      <c r="EH22" s="125"/>
      <c r="EI22" s="125"/>
      <c r="EJ22" s="125"/>
      <c r="EK22" s="125"/>
      <c r="EL22" s="125"/>
      <c r="EM22" s="125"/>
      <c r="EN22" s="125"/>
      <c r="EO22" s="125"/>
      <c r="EP22" s="125"/>
      <c r="EQ22" s="125"/>
      <c r="ER22" s="125"/>
      <c r="ES22" s="125"/>
      <c r="ET22" s="125"/>
      <c r="EU22" s="125"/>
      <c r="EV22" s="125"/>
      <c r="EW22" s="125"/>
      <c r="EX22" s="125"/>
      <c r="EY22" s="125"/>
      <c r="EZ22" s="125"/>
      <c r="FA22" s="125"/>
      <c r="FB22" s="125"/>
      <c r="FC22" s="125"/>
      <c r="FD22" s="125"/>
      <c r="FE22" s="125"/>
      <c r="FF22" s="125"/>
      <c r="FG22" s="125"/>
      <c r="FH22" s="125"/>
      <c r="FI22" s="125"/>
      <c r="FJ22" s="125"/>
      <c r="FK22" s="125"/>
      <c r="FL22" s="125"/>
      <c r="FM22" s="125"/>
      <c r="FN22" s="125"/>
      <c r="FO22" s="125"/>
      <c r="FP22" s="125"/>
      <c r="FQ22" s="125"/>
      <c r="FR22" s="125"/>
      <c r="FS22" s="125"/>
      <c r="FT22" s="125"/>
      <c r="FU22" s="125"/>
      <c r="FV22" s="125"/>
      <c r="FW22" s="125"/>
      <c r="FX22" s="125"/>
      <c r="FY22" s="125"/>
      <c r="FZ22" s="125"/>
      <c r="GA22" s="125"/>
      <c r="GB22" s="125"/>
      <c r="GC22" s="125"/>
      <c r="GD22" s="125"/>
      <c r="GE22" s="125"/>
      <c r="GF22" s="125"/>
      <c r="GG22" s="125"/>
      <c r="GH22" s="125"/>
      <c r="GI22" s="125"/>
      <c r="GJ22" s="125"/>
      <c r="GK22" s="125"/>
      <c r="GL22" s="125"/>
      <c r="GM22" s="125"/>
      <c r="GN22" s="125"/>
      <c r="GO22" s="125"/>
      <c r="GP22" s="125"/>
    </row>
    <row r="23" spans="1:241" ht="36.6" x14ac:dyDescent="1.05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29"/>
      <c r="Q23" s="131"/>
      <c r="R23" s="131"/>
      <c r="S23" s="131"/>
      <c r="T23" s="131" t="s">
        <v>470</v>
      </c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/>
      <c r="CP23" s="125"/>
      <c r="CQ23" s="125"/>
      <c r="CR23" s="125"/>
      <c r="CS23" s="125"/>
      <c r="CT23" s="125"/>
      <c r="CU23" s="125"/>
      <c r="CV23" s="125"/>
      <c r="CW23" s="125"/>
      <c r="CX23" s="125"/>
      <c r="CY23" s="125"/>
      <c r="CZ23" s="125"/>
      <c r="DA23" s="125"/>
      <c r="DB23" s="125"/>
      <c r="DC23" s="125"/>
      <c r="DD23" s="125"/>
      <c r="DE23" s="125"/>
      <c r="DF23" s="125"/>
      <c r="DG23" s="125"/>
      <c r="DH23" s="125"/>
      <c r="DI23" s="125"/>
      <c r="DJ23" s="125"/>
      <c r="DK23" s="125"/>
      <c r="DL23" s="125"/>
      <c r="DM23" s="125"/>
      <c r="DN23" s="125"/>
      <c r="DO23" s="125"/>
      <c r="DP23" s="125"/>
      <c r="DQ23" s="125"/>
      <c r="DR23" s="125"/>
      <c r="DS23" s="125"/>
      <c r="DT23" s="125"/>
      <c r="DU23" s="125"/>
      <c r="DV23" s="125"/>
      <c r="DW23" s="125"/>
      <c r="DX23" s="125"/>
      <c r="DY23" s="125"/>
      <c r="DZ23" s="125"/>
      <c r="EA23" s="125"/>
      <c r="EB23" s="125"/>
      <c r="EC23" s="125"/>
      <c r="ED23" s="125"/>
      <c r="EE23" s="125"/>
      <c r="EF23" s="125"/>
      <c r="EG23" s="125"/>
      <c r="EH23" s="125"/>
      <c r="EI23" s="125"/>
      <c r="EJ23" s="125"/>
      <c r="EK23" s="125"/>
      <c r="EL23" s="125"/>
      <c r="EM23" s="125"/>
      <c r="EN23" s="125"/>
      <c r="EO23" s="125"/>
      <c r="EP23" s="125"/>
      <c r="EQ23" s="125"/>
      <c r="ER23" s="125"/>
      <c r="ES23" s="125"/>
      <c r="ET23" s="125"/>
      <c r="EU23" s="125"/>
      <c r="EV23" s="125"/>
      <c r="EW23" s="125"/>
      <c r="EX23" s="125"/>
      <c r="EY23" s="125"/>
      <c r="EZ23" s="125"/>
      <c r="FA23" s="125"/>
      <c r="FB23" s="125"/>
      <c r="FC23" s="125"/>
      <c r="FD23" s="125"/>
      <c r="FE23" s="125"/>
      <c r="FF23" s="125"/>
      <c r="FG23" s="125"/>
      <c r="FH23" s="125"/>
      <c r="FI23" s="125"/>
      <c r="FJ23" s="125"/>
      <c r="FK23" s="125"/>
      <c r="FL23" s="125"/>
      <c r="FM23" s="125"/>
      <c r="FN23" s="125"/>
      <c r="FO23" s="125"/>
      <c r="FP23" s="125"/>
      <c r="FQ23" s="125"/>
      <c r="FR23" s="125"/>
      <c r="FS23" s="125"/>
      <c r="FT23" s="125"/>
      <c r="FU23" s="125"/>
      <c r="FV23" s="125"/>
      <c r="FW23" s="125"/>
      <c r="FX23" s="125"/>
      <c r="FY23" s="125"/>
      <c r="FZ23" s="125"/>
      <c r="GA23" s="125"/>
      <c r="GB23" s="125"/>
      <c r="GC23" s="125"/>
      <c r="GD23" s="125"/>
      <c r="GE23" s="125"/>
      <c r="GF23" s="125"/>
      <c r="GG23" s="125"/>
      <c r="GH23" s="125"/>
      <c r="GI23" s="125"/>
      <c r="GJ23" s="125"/>
      <c r="GK23" s="125"/>
      <c r="GL23" s="125"/>
      <c r="GM23" s="125"/>
      <c r="GN23" s="125"/>
      <c r="GO23" s="125"/>
      <c r="GP23" s="125"/>
    </row>
    <row r="24" spans="1:241" ht="36.6" x14ac:dyDescent="1.05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29"/>
      <c r="Q24" s="131"/>
      <c r="R24" s="131"/>
      <c r="S24" s="131"/>
      <c r="T24" s="131" t="s">
        <v>471</v>
      </c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  <c r="CK24" s="125"/>
      <c r="CL24" s="125"/>
      <c r="CM24" s="125"/>
      <c r="CN24" s="125"/>
      <c r="CO24" s="125"/>
      <c r="CP24" s="125"/>
      <c r="CQ24" s="125"/>
      <c r="CR24" s="125"/>
      <c r="CS24" s="125"/>
      <c r="CT24" s="125"/>
      <c r="CU24" s="125"/>
      <c r="CV24" s="125"/>
      <c r="CW24" s="125"/>
      <c r="CX24" s="125"/>
      <c r="CY24" s="125"/>
      <c r="CZ24" s="125"/>
      <c r="DA24" s="125"/>
      <c r="DB24" s="125"/>
      <c r="DC24" s="125"/>
      <c r="DD24" s="125"/>
      <c r="DE24" s="125"/>
      <c r="DF24" s="125"/>
      <c r="DG24" s="125"/>
      <c r="DH24" s="125"/>
      <c r="DI24" s="125"/>
      <c r="DJ24" s="125"/>
      <c r="DK24" s="125"/>
      <c r="DL24" s="125"/>
      <c r="DM24" s="125"/>
      <c r="DN24" s="125"/>
      <c r="DO24" s="125"/>
      <c r="DP24" s="125"/>
      <c r="DQ24" s="125"/>
      <c r="DR24" s="125"/>
      <c r="DS24" s="125"/>
      <c r="DT24" s="125"/>
      <c r="DU24" s="125"/>
      <c r="DV24" s="125"/>
      <c r="DW24" s="125"/>
      <c r="DX24" s="125"/>
      <c r="DY24" s="125"/>
      <c r="DZ24" s="125"/>
      <c r="EA24" s="125"/>
      <c r="EB24" s="125"/>
      <c r="EC24" s="125"/>
      <c r="ED24" s="125"/>
      <c r="EE24" s="125"/>
      <c r="EF24" s="125"/>
      <c r="EG24" s="125"/>
      <c r="EH24" s="125"/>
      <c r="EI24" s="125"/>
      <c r="EJ24" s="125"/>
      <c r="EK24" s="125"/>
      <c r="EL24" s="125"/>
      <c r="EM24" s="125"/>
      <c r="EN24" s="125"/>
      <c r="EO24" s="125"/>
      <c r="EP24" s="125"/>
      <c r="EQ24" s="125"/>
      <c r="ER24" s="125"/>
      <c r="ES24" s="125"/>
      <c r="ET24" s="125"/>
      <c r="EU24" s="125"/>
      <c r="EV24" s="125"/>
      <c r="EW24" s="125"/>
      <c r="EX24" s="125"/>
      <c r="EY24" s="125"/>
      <c r="EZ24" s="125"/>
      <c r="FA24" s="125"/>
      <c r="FB24" s="125"/>
      <c r="FC24" s="125"/>
      <c r="FD24" s="125"/>
      <c r="FE24" s="125"/>
      <c r="FF24" s="125"/>
      <c r="FG24" s="125"/>
      <c r="FH24" s="125"/>
      <c r="FI24" s="125"/>
      <c r="FJ24" s="125"/>
      <c r="FK24" s="125"/>
      <c r="FL24" s="125"/>
      <c r="FM24" s="125"/>
      <c r="FN24" s="125"/>
      <c r="FO24" s="125"/>
      <c r="FP24" s="125"/>
      <c r="FQ24" s="125"/>
      <c r="FR24" s="125"/>
      <c r="FS24" s="125"/>
      <c r="FT24" s="125"/>
      <c r="FU24" s="125"/>
      <c r="FV24" s="125"/>
      <c r="FW24" s="125"/>
      <c r="FX24" s="125"/>
      <c r="FY24" s="125"/>
      <c r="FZ24" s="125"/>
      <c r="GA24" s="125"/>
      <c r="GB24" s="125"/>
      <c r="GC24" s="125"/>
      <c r="GD24" s="125"/>
      <c r="GE24" s="125"/>
      <c r="GF24" s="125"/>
      <c r="GG24" s="125"/>
      <c r="GH24" s="125"/>
      <c r="GI24" s="125"/>
      <c r="GJ24" s="125"/>
      <c r="GK24" s="125"/>
      <c r="GL24" s="125"/>
      <c r="GM24" s="125"/>
      <c r="GN24" s="125"/>
      <c r="GO24" s="125"/>
      <c r="GP24" s="125"/>
      <c r="GQ24" s="125"/>
      <c r="GR24" s="125"/>
      <c r="GS24" s="125"/>
      <c r="GT24" s="125"/>
      <c r="GU24" s="125"/>
      <c r="GV24" s="125"/>
      <c r="GW24" s="125"/>
      <c r="GX24" s="125"/>
      <c r="GY24" s="125"/>
      <c r="GZ24" s="125"/>
      <c r="HA24" s="125"/>
      <c r="HB24" s="125"/>
      <c r="HC24" s="125"/>
      <c r="HD24" s="125"/>
      <c r="HE24" s="125"/>
      <c r="HF24" s="125"/>
      <c r="HG24" s="125"/>
      <c r="HH24" s="125"/>
      <c r="HI24" s="125"/>
      <c r="HJ24" s="125"/>
      <c r="HK24" s="125"/>
      <c r="HL24" s="125"/>
      <c r="HM24" s="125"/>
      <c r="HN24" s="125"/>
      <c r="HO24" s="125"/>
      <c r="HP24" s="125"/>
      <c r="HQ24" s="125"/>
      <c r="HR24" s="125"/>
      <c r="HS24" s="125"/>
      <c r="HT24" s="125"/>
      <c r="HU24" s="125"/>
      <c r="HV24" s="125"/>
      <c r="HW24" s="125"/>
      <c r="HX24" s="125"/>
      <c r="HY24" s="125"/>
      <c r="HZ24" s="125"/>
      <c r="IA24" s="125"/>
      <c r="IB24" s="125"/>
      <c r="IC24" s="125"/>
      <c r="ID24" s="125"/>
      <c r="IE24" s="125"/>
      <c r="IF24" s="125"/>
      <c r="IG24" s="125"/>
    </row>
    <row r="25" spans="1:241" ht="36.6" x14ac:dyDescent="1.05">
      <c r="A25" s="129"/>
      <c r="B25" s="129"/>
      <c r="C25" s="129"/>
      <c r="D25" s="129"/>
      <c r="E25" s="129"/>
      <c r="F25" s="129"/>
      <c r="G25" s="129"/>
      <c r="H25" s="129"/>
      <c r="I25" s="129"/>
      <c r="J25" s="131"/>
      <c r="K25" s="131"/>
      <c r="L25" s="131"/>
      <c r="M25" s="131"/>
      <c r="N25" s="131"/>
      <c r="O25" s="131"/>
      <c r="P25" s="129"/>
      <c r="Q25" s="131"/>
      <c r="R25" s="131"/>
      <c r="S25" s="131"/>
      <c r="T25" s="131" t="s">
        <v>472</v>
      </c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5"/>
      <c r="CR25" s="125"/>
      <c r="CS25" s="125"/>
      <c r="CT25" s="125"/>
      <c r="CU25" s="125"/>
      <c r="CV25" s="125"/>
      <c r="CW25" s="125"/>
      <c r="CX25" s="125"/>
      <c r="CY25" s="125"/>
      <c r="CZ25" s="125"/>
      <c r="DA25" s="125"/>
      <c r="DB25" s="125"/>
      <c r="DC25" s="125"/>
      <c r="DD25" s="125"/>
      <c r="DE25" s="125"/>
      <c r="DF25" s="125"/>
      <c r="DG25" s="125"/>
      <c r="DH25" s="125"/>
      <c r="DI25" s="125"/>
      <c r="DJ25" s="125"/>
      <c r="DK25" s="125"/>
      <c r="DL25" s="125"/>
      <c r="DM25" s="125"/>
      <c r="DN25" s="125"/>
      <c r="DO25" s="125"/>
      <c r="DP25" s="125"/>
      <c r="DQ25" s="125"/>
      <c r="DR25" s="125"/>
      <c r="DS25" s="125"/>
      <c r="DT25" s="125"/>
      <c r="DU25" s="125"/>
      <c r="DV25" s="125"/>
      <c r="DW25" s="125"/>
      <c r="DX25" s="125"/>
      <c r="DY25" s="125"/>
      <c r="DZ25" s="125"/>
      <c r="EA25" s="125"/>
      <c r="EB25" s="125"/>
      <c r="EC25" s="125"/>
      <c r="ED25" s="125"/>
      <c r="EE25" s="125"/>
      <c r="EF25" s="125"/>
      <c r="EG25" s="125"/>
      <c r="EH25" s="125"/>
      <c r="EI25" s="125"/>
      <c r="EJ25" s="125"/>
      <c r="EK25" s="125"/>
      <c r="EL25" s="125"/>
      <c r="EM25" s="125"/>
      <c r="EN25" s="125"/>
      <c r="EO25" s="125"/>
      <c r="EP25" s="125"/>
      <c r="EQ25" s="125"/>
      <c r="ER25" s="125"/>
      <c r="ES25" s="125"/>
      <c r="ET25" s="125"/>
      <c r="EU25" s="125"/>
      <c r="EV25" s="125"/>
      <c r="EW25" s="125"/>
      <c r="EX25" s="125"/>
      <c r="EY25" s="125"/>
      <c r="EZ25" s="125"/>
      <c r="FA25" s="125"/>
      <c r="FB25" s="125"/>
      <c r="FC25" s="125"/>
      <c r="FD25" s="125"/>
      <c r="FE25" s="125"/>
      <c r="FF25" s="125"/>
      <c r="FG25" s="125"/>
      <c r="FH25" s="125"/>
      <c r="FI25" s="125"/>
      <c r="FJ25" s="125"/>
      <c r="FK25" s="125"/>
      <c r="FL25" s="125"/>
      <c r="FM25" s="125"/>
      <c r="FN25" s="125"/>
      <c r="FO25" s="125"/>
      <c r="FP25" s="125"/>
      <c r="FQ25" s="125"/>
      <c r="FR25" s="125"/>
      <c r="FS25" s="125"/>
      <c r="FT25" s="125"/>
      <c r="FU25" s="125"/>
      <c r="FV25" s="125"/>
      <c r="FW25" s="125"/>
      <c r="FX25" s="125"/>
      <c r="FY25" s="125"/>
      <c r="FZ25" s="125"/>
      <c r="GA25" s="125"/>
      <c r="GB25" s="125"/>
      <c r="GC25" s="125"/>
      <c r="GD25" s="125"/>
      <c r="GE25" s="125"/>
      <c r="GF25" s="125"/>
      <c r="GG25" s="125"/>
      <c r="GH25" s="125"/>
      <c r="GI25" s="125"/>
      <c r="GJ25" s="125"/>
      <c r="GK25" s="125"/>
      <c r="GL25" s="125"/>
      <c r="GM25" s="125"/>
      <c r="GN25" s="125"/>
      <c r="GO25" s="125"/>
      <c r="GP25" s="125"/>
      <c r="GQ25" s="125"/>
      <c r="GR25" s="125"/>
      <c r="GS25" s="125"/>
      <c r="GT25" s="125"/>
      <c r="GU25" s="125"/>
      <c r="GV25" s="125"/>
      <c r="GW25" s="125"/>
      <c r="GX25" s="125"/>
      <c r="GY25" s="125"/>
      <c r="GZ25" s="125"/>
      <c r="HA25" s="125"/>
      <c r="HB25" s="125"/>
      <c r="HC25" s="125"/>
      <c r="HD25" s="125"/>
      <c r="HE25" s="125"/>
      <c r="HF25" s="125"/>
      <c r="HG25" s="125"/>
      <c r="HH25" s="125"/>
      <c r="HI25" s="125"/>
      <c r="HJ25" s="125"/>
      <c r="HK25" s="125"/>
      <c r="HL25" s="125"/>
      <c r="HM25" s="125"/>
      <c r="HN25" s="125"/>
      <c r="HO25" s="125"/>
      <c r="HP25" s="125"/>
      <c r="HQ25" s="125"/>
      <c r="HR25" s="125"/>
      <c r="HS25" s="125"/>
      <c r="HT25" s="125"/>
      <c r="HU25" s="125"/>
      <c r="HV25" s="125"/>
      <c r="HW25" s="125"/>
      <c r="HX25" s="125"/>
      <c r="HY25" s="125"/>
      <c r="HZ25" s="125"/>
      <c r="IA25" s="125"/>
      <c r="IB25" s="125"/>
      <c r="IC25" s="125"/>
      <c r="ID25" s="125"/>
      <c r="IE25" s="125"/>
      <c r="IF25" s="125"/>
      <c r="IG25" s="125"/>
    </row>
    <row r="26" spans="1:241" ht="36.6" x14ac:dyDescent="1.05">
      <c r="A26" s="129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29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  <c r="CK26" s="125"/>
      <c r="CL26" s="125"/>
      <c r="CM26" s="125"/>
      <c r="CN26" s="125"/>
      <c r="CO26" s="125"/>
      <c r="CP26" s="125"/>
      <c r="CQ26" s="125"/>
      <c r="CR26" s="125"/>
      <c r="CS26" s="125"/>
      <c r="CT26" s="125"/>
      <c r="CU26" s="125"/>
      <c r="CV26" s="125"/>
      <c r="CW26" s="125"/>
      <c r="CX26" s="125"/>
      <c r="CY26" s="125"/>
      <c r="CZ26" s="125"/>
      <c r="DA26" s="125"/>
      <c r="DB26" s="125"/>
      <c r="DC26" s="125"/>
      <c r="DD26" s="125"/>
      <c r="DE26" s="125"/>
      <c r="DF26" s="125"/>
      <c r="DG26" s="125"/>
      <c r="DH26" s="125"/>
      <c r="DI26" s="125"/>
      <c r="DJ26" s="125"/>
      <c r="DK26" s="125"/>
      <c r="DL26" s="125"/>
      <c r="DM26" s="125"/>
      <c r="DN26" s="125"/>
      <c r="DO26" s="125"/>
      <c r="DP26" s="125"/>
      <c r="DQ26" s="125"/>
      <c r="DR26" s="125"/>
      <c r="DS26" s="125"/>
      <c r="DT26" s="125"/>
      <c r="DU26" s="125"/>
      <c r="DV26" s="125"/>
      <c r="DW26" s="125"/>
      <c r="DX26" s="125"/>
      <c r="DY26" s="125"/>
      <c r="DZ26" s="125"/>
      <c r="EA26" s="125"/>
      <c r="EB26" s="125"/>
      <c r="EC26" s="125"/>
      <c r="ED26" s="125"/>
      <c r="EE26" s="125"/>
      <c r="EF26" s="125"/>
      <c r="EG26" s="125"/>
      <c r="EH26" s="125"/>
      <c r="EI26" s="125"/>
      <c r="EJ26" s="125"/>
      <c r="EK26" s="125"/>
      <c r="EL26" s="125"/>
      <c r="EM26" s="125"/>
      <c r="EN26" s="125"/>
      <c r="EO26" s="125"/>
      <c r="EP26" s="125"/>
      <c r="EQ26" s="125"/>
      <c r="ER26" s="125"/>
      <c r="ES26" s="125"/>
      <c r="ET26" s="125"/>
      <c r="EU26" s="125"/>
      <c r="EV26" s="125"/>
      <c r="EW26" s="125"/>
      <c r="EX26" s="125"/>
      <c r="EY26" s="125"/>
      <c r="EZ26" s="125"/>
      <c r="FA26" s="125"/>
      <c r="FB26" s="125"/>
      <c r="FC26" s="125"/>
      <c r="FD26" s="125"/>
      <c r="FE26" s="125"/>
      <c r="FF26" s="125"/>
      <c r="FG26" s="125"/>
      <c r="FH26" s="125"/>
      <c r="FI26" s="125"/>
      <c r="FJ26" s="125"/>
      <c r="FK26" s="125"/>
      <c r="FL26" s="125"/>
      <c r="FM26" s="125"/>
      <c r="FN26" s="125"/>
      <c r="FO26" s="125"/>
      <c r="FP26" s="125"/>
      <c r="FQ26" s="125"/>
      <c r="FR26" s="125"/>
      <c r="FS26" s="125"/>
      <c r="FT26" s="125"/>
      <c r="FU26" s="125"/>
      <c r="FV26" s="125"/>
      <c r="FW26" s="125"/>
      <c r="FX26" s="125"/>
      <c r="FY26" s="125"/>
      <c r="FZ26" s="125"/>
      <c r="GA26" s="125"/>
      <c r="GB26" s="125"/>
      <c r="GC26" s="125"/>
      <c r="GD26" s="125"/>
      <c r="GE26" s="125"/>
      <c r="GF26" s="125"/>
      <c r="GG26" s="125"/>
      <c r="GH26" s="125"/>
      <c r="GI26" s="125"/>
      <c r="GJ26" s="125"/>
      <c r="GK26" s="125"/>
      <c r="GL26" s="125"/>
      <c r="GM26" s="125"/>
      <c r="GN26" s="125"/>
      <c r="GO26" s="125"/>
      <c r="GP26" s="125"/>
      <c r="GQ26" s="125"/>
      <c r="GR26" s="125"/>
      <c r="GS26" s="125"/>
      <c r="GT26" s="125"/>
      <c r="GU26" s="125"/>
      <c r="GV26" s="125"/>
      <c r="GW26" s="125"/>
      <c r="GX26" s="125"/>
      <c r="GY26" s="125"/>
      <c r="GZ26" s="125"/>
      <c r="HA26" s="125"/>
      <c r="HB26" s="125"/>
      <c r="HC26" s="125"/>
      <c r="HD26" s="125"/>
      <c r="HE26" s="125"/>
      <c r="HF26" s="125"/>
      <c r="HG26" s="125"/>
      <c r="HH26" s="125"/>
      <c r="HI26" s="125"/>
      <c r="HJ26" s="125"/>
      <c r="HK26" s="125"/>
      <c r="HL26" s="125"/>
      <c r="HM26" s="125"/>
      <c r="HN26" s="125"/>
      <c r="HO26" s="125"/>
      <c r="HP26" s="125"/>
      <c r="HQ26" s="125"/>
      <c r="HR26" s="125"/>
      <c r="HS26" s="125"/>
      <c r="HT26" s="125"/>
      <c r="HU26" s="125"/>
      <c r="HV26" s="125"/>
      <c r="HW26" s="125"/>
      <c r="HX26" s="125"/>
      <c r="HY26" s="125"/>
      <c r="HZ26" s="125"/>
      <c r="IA26" s="125"/>
      <c r="IB26" s="125"/>
      <c r="IC26" s="125"/>
      <c r="ID26" s="125"/>
      <c r="IE26" s="125"/>
      <c r="IF26" s="125"/>
      <c r="IG26" s="125"/>
    </row>
    <row r="27" spans="1:241" ht="36.6" x14ac:dyDescent="1.05">
      <c r="A27" s="129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29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  <c r="CK27" s="125"/>
      <c r="CL27" s="125"/>
      <c r="CM27" s="125"/>
      <c r="CN27" s="125"/>
      <c r="CO27" s="125"/>
      <c r="CP27" s="125"/>
      <c r="CQ27" s="125"/>
      <c r="CR27" s="125"/>
      <c r="CS27" s="125"/>
      <c r="CT27" s="125"/>
      <c r="CU27" s="125"/>
      <c r="CV27" s="125"/>
      <c r="CW27" s="125"/>
      <c r="CX27" s="125"/>
      <c r="CY27" s="125"/>
      <c r="CZ27" s="125"/>
      <c r="DA27" s="125"/>
      <c r="DB27" s="125"/>
      <c r="DC27" s="125"/>
      <c r="DD27" s="125"/>
      <c r="DE27" s="125"/>
      <c r="DF27" s="125"/>
      <c r="DG27" s="125"/>
      <c r="DH27" s="125"/>
      <c r="DI27" s="125"/>
      <c r="DJ27" s="125"/>
      <c r="DK27" s="125"/>
      <c r="DL27" s="125"/>
      <c r="DM27" s="125"/>
      <c r="DN27" s="125"/>
      <c r="DO27" s="125"/>
      <c r="DP27" s="125"/>
      <c r="DQ27" s="125"/>
      <c r="DR27" s="125"/>
      <c r="DS27" s="125"/>
      <c r="DT27" s="125"/>
      <c r="DU27" s="125"/>
      <c r="DV27" s="125"/>
      <c r="DW27" s="125"/>
      <c r="DX27" s="125"/>
      <c r="DY27" s="125"/>
      <c r="DZ27" s="125"/>
      <c r="EA27" s="125"/>
      <c r="EB27" s="125"/>
      <c r="EC27" s="125"/>
      <c r="ED27" s="125"/>
      <c r="EE27" s="125"/>
      <c r="EF27" s="125"/>
      <c r="EG27" s="125"/>
      <c r="EH27" s="125"/>
      <c r="EI27" s="125"/>
      <c r="EJ27" s="125"/>
      <c r="EK27" s="125"/>
      <c r="EL27" s="125"/>
      <c r="EM27" s="125"/>
      <c r="EN27" s="125"/>
      <c r="EO27" s="125"/>
      <c r="EP27" s="125"/>
      <c r="EQ27" s="125"/>
      <c r="ER27" s="125"/>
      <c r="ES27" s="125"/>
      <c r="ET27" s="125"/>
      <c r="EU27" s="125"/>
      <c r="EV27" s="125"/>
      <c r="EW27" s="125"/>
      <c r="EX27" s="125"/>
      <c r="EY27" s="125"/>
      <c r="EZ27" s="125"/>
      <c r="FA27" s="125"/>
      <c r="FB27" s="125"/>
      <c r="FC27" s="125"/>
      <c r="FD27" s="125"/>
      <c r="FE27" s="125"/>
      <c r="FF27" s="125"/>
      <c r="FG27" s="125"/>
      <c r="FH27" s="125"/>
      <c r="FI27" s="125"/>
      <c r="FJ27" s="125"/>
      <c r="FK27" s="125"/>
      <c r="FL27" s="125"/>
      <c r="FM27" s="125"/>
      <c r="FN27" s="125"/>
      <c r="FO27" s="125"/>
      <c r="FP27" s="125"/>
      <c r="FQ27" s="125"/>
      <c r="FR27" s="125"/>
      <c r="FS27" s="125"/>
      <c r="FT27" s="125"/>
      <c r="FU27" s="125"/>
      <c r="FV27" s="125"/>
      <c r="FW27" s="125"/>
      <c r="FX27" s="125"/>
      <c r="FY27" s="125"/>
      <c r="FZ27" s="125"/>
      <c r="GA27" s="125"/>
      <c r="GB27" s="125"/>
      <c r="GC27" s="125"/>
      <c r="GD27" s="125"/>
      <c r="GE27" s="125"/>
      <c r="GF27" s="125"/>
      <c r="GG27" s="125"/>
      <c r="GH27" s="125"/>
      <c r="GI27" s="125"/>
      <c r="GJ27" s="125"/>
      <c r="GK27" s="125"/>
      <c r="GL27" s="125"/>
      <c r="GM27" s="125"/>
      <c r="GN27" s="125"/>
      <c r="GO27" s="125"/>
      <c r="GP27" s="125"/>
      <c r="GQ27" s="125"/>
      <c r="GR27" s="125"/>
      <c r="GS27" s="125"/>
      <c r="GT27" s="125"/>
      <c r="GU27" s="125"/>
      <c r="GV27" s="125"/>
      <c r="GW27" s="125"/>
      <c r="GX27" s="125"/>
      <c r="GY27" s="125"/>
      <c r="GZ27" s="125"/>
      <c r="HA27" s="125"/>
      <c r="HB27" s="125"/>
      <c r="HC27" s="125"/>
      <c r="HD27" s="125"/>
      <c r="HE27" s="125"/>
      <c r="HF27" s="125"/>
      <c r="HG27" s="125"/>
      <c r="HH27" s="125"/>
      <c r="HI27" s="125"/>
      <c r="HJ27" s="125"/>
      <c r="HK27" s="125"/>
      <c r="HL27" s="125"/>
      <c r="HM27" s="125"/>
      <c r="HN27" s="125"/>
      <c r="HO27" s="125"/>
      <c r="HP27" s="125"/>
      <c r="HQ27" s="125"/>
      <c r="HR27" s="125"/>
      <c r="HS27" s="125"/>
      <c r="HT27" s="125"/>
      <c r="HU27" s="125"/>
      <c r="HV27" s="125"/>
      <c r="HW27" s="125"/>
      <c r="HX27" s="125"/>
      <c r="HY27" s="125"/>
      <c r="HZ27" s="125"/>
      <c r="IA27" s="125"/>
      <c r="IB27" s="125"/>
      <c r="IC27" s="125"/>
      <c r="ID27" s="125"/>
      <c r="IE27" s="125"/>
      <c r="IF27" s="125"/>
      <c r="IG27" s="125"/>
    </row>
    <row r="28" spans="1:241" ht="36.6" x14ac:dyDescent="1.05">
      <c r="A28" s="128" t="s">
        <v>473</v>
      </c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29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  <c r="CK28" s="125"/>
      <c r="CL28" s="125"/>
      <c r="CM28" s="125"/>
      <c r="CN28" s="125"/>
      <c r="CO28" s="125"/>
      <c r="CP28" s="125"/>
      <c r="CQ28" s="125"/>
      <c r="CR28" s="125"/>
      <c r="CS28" s="125"/>
      <c r="CT28" s="125"/>
      <c r="CU28" s="125"/>
      <c r="CV28" s="125"/>
      <c r="CW28" s="125"/>
      <c r="CX28" s="125"/>
      <c r="CY28" s="125"/>
      <c r="CZ28" s="125"/>
      <c r="DA28" s="125"/>
      <c r="DB28" s="125"/>
      <c r="DC28" s="125"/>
      <c r="DD28" s="125"/>
      <c r="DE28" s="125"/>
      <c r="DF28" s="125"/>
      <c r="DG28" s="125"/>
      <c r="DH28" s="125"/>
      <c r="DI28" s="125"/>
      <c r="DJ28" s="125"/>
      <c r="DK28" s="125"/>
      <c r="DL28" s="125"/>
      <c r="DM28" s="125"/>
      <c r="DN28" s="125"/>
      <c r="DO28" s="125"/>
      <c r="DP28" s="125"/>
      <c r="DQ28" s="125"/>
      <c r="DR28" s="125"/>
      <c r="DS28" s="125"/>
      <c r="DT28" s="125"/>
      <c r="DU28" s="125"/>
      <c r="DV28" s="125"/>
      <c r="DW28" s="125"/>
      <c r="DX28" s="125"/>
      <c r="DY28" s="125"/>
      <c r="DZ28" s="125"/>
      <c r="EA28" s="125"/>
      <c r="EB28" s="125"/>
      <c r="EC28" s="125"/>
      <c r="ED28" s="125"/>
      <c r="EE28" s="125"/>
      <c r="EF28" s="125"/>
      <c r="EG28" s="125"/>
      <c r="EH28" s="125"/>
      <c r="EI28" s="125"/>
      <c r="EJ28" s="125"/>
      <c r="EK28" s="125"/>
      <c r="EL28" s="125"/>
      <c r="EM28" s="125"/>
      <c r="EN28" s="125"/>
      <c r="EO28" s="125"/>
      <c r="EP28" s="125"/>
      <c r="EQ28" s="125"/>
      <c r="ER28" s="125"/>
      <c r="ES28" s="125"/>
      <c r="ET28" s="125"/>
      <c r="EU28" s="125"/>
      <c r="EV28" s="125"/>
      <c r="EW28" s="125"/>
      <c r="EX28" s="125"/>
      <c r="EY28" s="125"/>
      <c r="EZ28" s="125"/>
      <c r="FA28" s="125"/>
      <c r="FB28" s="125"/>
      <c r="FC28" s="125"/>
      <c r="FD28" s="125"/>
      <c r="FE28" s="125"/>
      <c r="FF28" s="125"/>
      <c r="FG28" s="125"/>
      <c r="FH28" s="125"/>
      <c r="FI28" s="125"/>
      <c r="FJ28" s="125"/>
      <c r="FK28" s="125"/>
      <c r="FL28" s="125"/>
      <c r="FM28" s="125"/>
      <c r="FN28" s="125"/>
      <c r="FO28" s="125"/>
      <c r="FP28" s="125"/>
      <c r="FQ28" s="125"/>
      <c r="FR28" s="125"/>
      <c r="FS28" s="125"/>
      <c r="FT28" s="125"/>
      <c r="FU28" s="125"/>
      <c r="FV28" s="125"/>
      <c r="FW28" s="125"/>
      <c r="FX28" s="125"/>
      <c r="FY28" s="125"/>
      <c r="FZ28" s="125"/>
      <c r="GA28" s="125"/>
      <c r="GB28" s="125"/>
      <c r="GC28" s="125"/>
      <c r="GD28" s="125"/>
      <c r="GE28" s="125"/>
      <c r="GF28" s="125"/>
      <c r="GG28" s="125"/>
      <c r="GH28" s="125"/>
      <c r="GI28" s="125"/>
      <c r="GJ28" s="125"/>
      <c r="GK28" s="125"/>
      <c r="GL28" s="125"/>
      <c r="GM28" s="125"/>
      <c r="GN28" s="125"/>
      <c r="GO28" s="125"/>
      <c r="GP28" s="125"/>
      <c r="GQ28" s="125"/>
      <c r="GR28" s="125"/>
      <c r="GS28" s="125"/>
      <c r="GT28" s="125"/>
      <c r="GU28" s="125"/>
      <c r="GV28" s="125"/>
      <c r="GW28" s="125"/>
      <c r="GX28" s="125"/>
      <c r="GY28" s="125"/>
      <c r="GZ28" s="125"/>
      <c r="HA28" s="125"/>
      <c r="HB28" s="125"/>
      <c r="HC28" s="125"/>
      <c r="HD28" s="125"/>
      <c r="HE28" s="125"/>
      <c r="HF28" s="125"/>
      <c r="HG28" s="125"/>
      <c r="HH28" s="125"/>
      <c r="HI28" s="125"/>
      <c r="HJ28" s="125"/>
      <c r="HK28" s="125"/>
      <c r="HL28" s="125"/>
      <c r="HM28" s="125"/>
      <c r="HN28" s="125"/>
      <c r="HO28" s="125"/>
      <c r="HP28" s="125"/>
      <c r="HQ28" s="125"/>
      <c r="HR28" s="125"/>
      <c r="HS28" s="125"/>
      <c r="HT28" s="125"/>
      <c r="HU28" s="125"/>
      <c r="HV28" s="125"/>
      <c r="HW28" s="125"/>
      <c r="HX28" s="125"/>
      <c r="HY28" s="125"/>
      <c r="HZ28" s="125"/>
      <c r="IA28" s="125"/>
      <c r="IB28" s="125"/>
      <c r="IC28" s="125"/>
      <c r="ID28" s="125"/>
      <c r="IE28" s="125"/>
      <c r="IF28" s="125"/>
      <c r="IG28" s="125"/>
    </row>
    <row r="29" spans="1:241" ht="35.25" customHeight="1" x14ac:dyDescent="1.05">
      <c r="A29" s="134" t="s">
        <v>474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29"/>
      <c r="Q29" s="131"/>
      <c r="R29" s="131"/>
      <c r="S29" s="135" t="s">
        <v>475</v>
      </c>
      <c r="T29" s="129"/>
      <c r="U29" s="131"/>
      <c r="V29" s="131"/>
      <c r="W29" s="131"/>
      <c r="X29" s="131"/>
      <c r="Y29" s="128"/>
      <c r="Z29" s="128"/>
      <c r="AA29" s="128"/>
      <c r="AB29" s="128"/>
      <c r="AC29" s="128"/>
      <c r="AD29" s="128"/>
      <c r="AE29" s="128"/>
      <c r="AF29" s="131"/>
      <c r="AG29" s="131"/>
      <c r="AH29" s="131"/>
      <c r="AI29" s="131"/>
      <c r="AJ29" s="131"/>
      <c r="AK29" s="131"/>
      <c r="AL29" s="136"/>
      <c r="AM29" s="136"/>
      <c r="AN29" s="130"/>
      <c r="AO29" s="130"/>
      <c r="AP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</row>
    <row r="30" spans="1:241" ht="36.6" x14ac:dyDescent="1.05">
      <c r="A30" s="131" t="s">
        <v>476</v>
      </c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29"/>
      <c r="Q30" s="131"/>
      <c r="R30" s="131"/>
      <c r="S30" s="137" t="s">
        <v>477</v>
      </c>
      <c r="T30" s="129"/>
      <c r="U30" s="129"/>
      <c r="V30" s="131"/>
      <c r="W30" s="131"/>
      <c r="X30" s="131"/>
      <c r="Y30" s="128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5"/>
      <c r="AM30" s="125"/>
      <c r="AN30" s="125"/>
      <c r="AO30" s="125"/>
      <c r="AP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  <c r="CK30" s="125"/>
      <c r="CL30" s="125"/>
      <c r="CM30" s="125"/>
      <c r="CN30" s="125"/>
      <c r="CO30" s="125"/>
      <c r="CP30" s="125"/>
      <c r="CQ30" s="125"/>
      <c r="CR30" s="125"/>
      <c r="CS30" s="125"/>
      <c r="CT30" s="125"/>
      <c r="CU30" s="125"/>
      <c r="CV30" s="125"/>
      <c r="CW30" s="125"/>
      <c r="CX30" s="125"/>
      <c r="CY30" s="125"/>
      <c r="CZ30" s="125"/>
      <c r="DA30" s="125"/>
      <c r="DB30" s="125"/>
      <c r="DC30" s="125"/>
      <c r="DD30" s="125"/>
      <c r="DE30" s="125"/>
      <c r="DF30" s="125"/>
      <c r="DG30" s="125"/>
      <c r="DH30" s="125"/>
      <c r="DI30" s="125"/>
      <c r="DJ30" s="125"/>
      <c r="DK30" s="125"/>
      <c r="DL30" s="125"/>
      <c r="DM30" s="125"/>
      <c r="DN30" s="125"/>
      <c r="DO30" s="125"/>
      <c r="DP30" s="125"/>
      <c r="DQ30" s="125"/>
      <c r="DR30" s="125"/>
      <c r="DS30" s="125"/>
      <c r="DT30" s="125"/>
      <c r="DU30" s="125"/>
      <c r="DV30" s="125"/>
      <c r="DW30" s="125"/>
      <c r="DX30" s="125"/>
      <c r="DY30" s="125"/>
      <c r="DZ30" s="125"/>
      <c r="EA30" s="125"/>
      <c r="EB30" s="125"/>
      <c r="EC30" s="125"/>
      <c r="ED30" s="125"/>
      <c r="EE30" s="125"/>
      <c r="EF30" s="125"/>
      <c r="EG30" s="125"/>
      <c r="EH30" s="125"/>
      <c r="EI30" s="125"/>
      <c r="EJ30" s="125"/>
      <c r="EK30" s="125"/>
      <c r="EL30" s="125"/>
      <c r="EM30" s="125"/>
      <c r="EN30" s="125"/>
      <c r="EO30" s="125"/>
      <c r="EP30" s="125"/>
      <c r="EQ30" s="125"/>
      <c r="ER30" s="125"/>
      <c r="ES30" s="125"/>
      <c r="ET30" s="125"/>
      <c r="EU30" s="125"/>
      <c r="EV30" s="125"/>
      <c r="EW30" s="125"/>
      <c r="EX30" s="125"/>
      <c r="EY30" s="125"/>
      <c r="EZ30" s="125"/>
      <c r="FA30" s="125"/>
      <c r="FB30" s="125"/>
      <c r="FC30" s="125"/>
      <c r="FD30" s="125"/>
      <c r="FE30" s="125"/>
      <c r="FF30" s="125"/>
      <c r="FG30" s="125"/>
      <c r="FH30" s="125"/>
      <c r="FI30" s="125"/>
      <c r="FJ30" s="125"/>
      <c r="FK30" s="125"/>
      <c r="FL30" s="125"/>
      <c r="FM30" s="125"/>
      <c r="FN30" s="125"/>
      <c r="FO30" s="125"/>
      <c r="FP30" s="125"/>
      <c r="FQ30" s="125"/>
      <c r="FR30" s="125"/>
      <c r="FS30" s="125"/>
      <c r="FT30" s="125"/>
      <c r="FU30" s="125"/>
      <c r="FV30" s="125"/>
      <c r="FW30" s="125"/>
      <c r="FX30" s="125"/>
      <c r="FY30" s="125"/>
      <c r="FZ30" s="125"/>
      <c r="GA30" s="125"/>
      <c r="GB30" s="125"/>
      <c r="GC30" s="125"/>
      <c r="GD30" s="125"/>
      <c r="GE30" s="125"/>
      <c r="GF30" s="125"/>
      <c r="GG30" s="125"/>
      <c r="GH30" s="125"/>
      <c r="GI30" s="125"/>
      <c r="GJ30" s="125"/>
      <c r="GK30" s="125"/>
      <c r="GL30" s="125"/>
      <c r="GM30" s="125"/>
      <c r="GN30" s="125"/>
      <c r="GO30" s="125"/>
    </row>
    <row r="31" spans="1:241" ht="36.6" x14ac:dyDescent="1.05">
      <c r="A31" s="131" t="s">
        <v>478</v>
      </c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29"/>
      <c r="Q31" s="131"/>
      <c r="R31" s="131"/>
      <c r="S31" s="137" t="s">
        <v>479</v>
      </c>
      <c r="T31" s="129"/>
      <c r="U31" s="129"/>
      <c r="V31" s="131"/>
      <c r="W31" s="128"/>
      <c r="X31" s="131"/>
      <c r="Y31" s="134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5"/>
      <c r="AM31" s="125"/>
      <c r="AN31" s="125"/>
      <c r="AO31" s="125"/>
      <c r="AP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  <c r="CK31" s="125"/>
      <c r="CL31" s="125"/>
      <c r="CM31" s="125"/>
      <c r="CN31" s="125"/>
      <c r="CO31" s="125"/>
      <c r="CP31" s="125"/>
      <c r="CQ31" s="125"/>
      <c r="CR31" s="125"/>
      <c r="CS31" s="125"/>
      <c r="CT31" s="125"/>
      <c r="CU31" s="125"/>
      <c r="CV31" s="125"/>
      <c r="CW31" s="125"/>
      <c r="CX31" s="125"/>
      <c r="CY31" s="125"/>
      <c r="CZ31" s="125"/>
      <c r="DA31" s="125"/>
      <c r="DB31" s="125"/>
      <c r="DC31" s="125"/>
      <c r="DD31" s="125"/>
      <c r="DE31" s="125"/>
      <c r="DF31" s="125"/>
      <c r="DG31" s="125"/>
      <c r="DH31" s="125"/>
      <c r="DI31" s="125"/>
      <c r="DJ31" s="125"/>
      <c r="DK31" s="125"/>
      <c r="DL31" s="125"/>
      <c r="DM31" s="125"/>
      <c r="DN31" s="125"/>
      <c r="DO31" s="125"/>
      <c r="DP31" s="125"/>
      <c r="DQ31" s="125"/>
      <c r="DR31" s="125"/>
      <c r="DS31" s="125"/>
      <c r="DT31" s="125"/>
      <c r="DU31" s="125"/>
      <c r="DV31" s="125"/>
      <c r="DW31" s="125"/>
      <c r="DX31" s="125"/>
      <c r="DY31" s="125"/>
      <c r="DZ31" s="125"/>
      <c r="EA31" s="125"/>
      <c r="EB31" s="125"/>
      <c r="EC31" s="125"/>
      <c r="ED31" s="125"/>
      <c r="EE31" s="125"/>
      <c r="EF31" s="125"/>
      <c r="EG31" s="125"/>
      <c r="EH31" s="125"/>
      <c r="EI31" s="125"/>
      <c r="EJ31" s="125"/>
      <c r="EK31" s="125"/>
      <c r="EL31" s="125"/>
      <c r="EM31" s="125"/>
      <c r="EN31" s="125"/>
      <c r="EO31" s="125"/>
      <c r="EP31" s="125"/>
      <c r="EQ31" s="125"/>
      <c r="ER31" s="125"/>
      <c r="ES31" s="125"/>
      <c r="ET31" s="125"/>
      <c r="EU31" s="125"/>
      <c r="EV31" s="125"/>
      <c r="EW31" s="125"/>
      <c r="EX31" s="125"/>
      <c r="EY31" s="125"/>
      <c r="EZ31" s="125"/>
      <c r="FA31" s="125"/>
      <c r="FB31" s="125"/>
      <c r="FC31" s="125"/>
      <c r="FD31" s="125"/>
      <c r="FE31" s="125"/>
      <c r="FF31" s="125"/>
      <c r="FG31" s="125"/>
      <c r="FH31" s="125"/>
      <c r="FI31" s="125"/>
      <c r="FJ31" s="125"/>
      <c r="FK31" s="125"/>
      <c r="FL31" s="125"/>
      <c r="FM31" s="125"/>
      <c r="FN31" s="125"/>
      <c r="FO31" s="125"/>
      <c r="FP31" s="125"/>
      <c r="FQ31" s="125"/>
      <c r="FR31" s="125"/>
      <c r="FS31" s="125"/>
      <c r="FT31" s="125"/>
      <c r="FU31" s="125"/>
      <c r="FV31" s="125"/>
      <c r="FW31" s="125"/>
      <c r="FX31" s="125"/>
      <c r="FY31" s="125"/>
      <c r="FZ31" s="125"/>
      <c r="GA31" s="125"/>
      <c r="GB31" s="125"/>
      <c r="GC31" s="125"/>
      <c r="GD31" s="125"/>
      <c r="GE31" s="125"/>
      <c r="GF31" s="125"/>
      <c r="GG31" s="125"/>
      <c r="GH31" s="125"/>
      <c r="GI31" s="125"/>
      <c r="GJ31" s="125"/>
      <c r="GK31" s="125"/>
      <c r="GL31" s="125"/>
      <c r="GM31" s="125"/>
      <c r="GN31" s="125"/>
      <c r="GO31" s="125"/>
    </row>
    <row r="32" spans="1:241" ht="36.6" x14ac:dyDescent="1.05">
      <c r="A32" s="131" t="s">
        <v>480</v>
      </c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29"/>
      <c r="Q32" s="131"/>
      <c r="R32" s="131"/>
      <c r="S32" s="137" t="s">
        <v>481</v>
      </c>
      <c r="T32" s="129"/>
      <c r="U32" s="129"/>
      <c r="V32" s="131"/>
      <c r="W32" s="131"/>
      <c r="X32" s="131"/>
      <c r="Y32" s="131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5"/>
      <c r="AM32" s="125"/>
      <c r="AN32" s="125"/>
      <c r="AO32" s="125"/>
      <c r="AP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5"/>
      <c r="CR32" s="125"/>
      <c r="CS32" s="125"/>
      <c r="CT32" s="125"/>
      <c r="CU32" s="125"/>
      <c r="CV32" s="125"/>
      <c r="CW32" s="125"/>
      <c r="CX32" s="125"/>
      <c r="CY32" s="125"/>
      <c r="CZ32" s="125"/>
      <c r="DA32" s="125"/>
      <c r="DB32" s="125"/>
      <c r="DC32" s="125"/>
      <c r="DD32" s="125"/>
      <c r="DE32" s="125"/>
      <c r="DF32" s="125"/>
      <c r="DG32" s="125"/>
      <c r="DH32" s="125"/>
      <c r="DI32" s="125"/>
      <c r="DJ32" s="125"/>
      <c r="DK32" s="125"/>
      <c r="DL32" s="125"/>
      <c r="DM32" s="125"/>
      <c r="DN32" s="125"/>
      <c r="DO32" s="125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  <c r="EG32" s="125"/>
      <c r="EH32" s="125"/>
      <c r="EI32" s="125"/>
      <c r="EJ32" s="125"/>
      <c r="EK32" s="125"/>
      <c r="EL32" s="125"/>
      <c r="EM32" s="125"/>
      <c r="EN32" s="125"/>
      <c r="EO32" s="125"/>
      <c r="EP32" s="125"/>
      <c r="EQ32" s="125"/>
      <c r="ER32" s="125"/>
      <c r="ES32" s="125"/>
      <c r="ET32" s="125"/>
      <c r="EU32" s="125"/>
      <c r="EV32" s="125"/>
      <c r="EW32" s="125"/>
      <c r="EX32" s="125"/>
      <c r="EY32" s="125"/>
      <c r="EZ32" s="125"/>
      <c r="FA32" s="125"/>
      <c r="FB32" s="125"/>
      <c r="FC32" s="125"/>
      <c r="FD32" s="125"/>
      <c r="FE32" s="125"/>
      <c r="FF32" s="125"/>
      <c r="FG32" s="125"/>
      <c r="FH32" s="125"/>
      <c r="FI32" s="125"/>
      <c r="FJ32" s="125"/>
      <c r="FK32" s="125"/>
      <c r="FL32" s="125"/>
      <c r="FM32" s="125"/>
      <c r="FN32" s="125"/>
      <c r="FO32" s="125"/>
      <c r="FP32" s="125"/>
      <c r="FQ32" s="125"/>
      <c r="FR32" s="125"/>
      <c r="FS32" s="125"/>
      <c r="FT32" s="125"/>
      <c r="FU32" s="125"/>
      <c r="FV32" s="125"/>
      <c r="FW32" s="125"/>
      <c r="FX32" s="125"/>
      <c r="FY32" s="125"/>
      <c r="FZ32" s="125"/>
      <c r="GA32" s="125"/>
      <c r="GB32" s="125"/>
      <c r="GC32" s="125"/>
      <c r="GD32" s="125"/>
      <c r="GE32" s="125"/>
      <c r="GF32" s="125"/>
      <c r="GG32" s="125"/>
      <c r="GH32" s="125"/>
      <c r="GI32" s="125"/>
      <c r="GJ32" s="125"/>
      <c r="GK32" s="125"/>
      <c r="GL32" s="125"/>
      <c r="GM32" s="125"/>
      <c r="GN32" s="125"/>
      <c r="GO32" s="125"/>
    </row>
    <row r="33" spans="1:241" ht="36.6" x14ac:dyDescent="1.05">
      <c r="A33" s="131" t="s">
        <v>482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9"/>
      <c r="Q33" s="128"/>
      <c r="R33" s="128"/>
      <c r="S33" s="137" t="s">
        <v>483</v>
      </c>
      <c r="T33" s="129"/>
      <c r="U33" s="129"/>
      <c r="V33" s="128"/>
      <c r="W33" s="131"/>
      <c r="X33" s="131"/>
      <c r="Y33" s="131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30"/>
      <c r="AM33" s="130"/>
      <c r="AN33" s="125"/>
      <c r="AO33" s="125"/>
      <c r="AP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  <c r="CK33" s="125"/>
      <c r="CL33" s="125"/>
      <c r="CM33" s="125"/>
      <c r="CN33" s="125"/>
      <c r="CO33" s="125"/>
      <c r="CP33" s="125"/>
      <c r="CQ33" s="125"/>
      <c r="CR33" s="125"/>
      <c r="CS33" s="125"/>
      <c r="CT33" s="125"/>
      <c r="CU33" s="125"/>
      <c r="CV33" s="125"/>
      <c r="CW33" s="125"/>
      <c r="CX33" s="125"/>
      <c r="CY33" s="125"/>
      <c r="CZ33" s="125"/>
      <c r="DA33" s="125"/>
      <c r="DB33" s="125"/>
      <c r="DC33" s="125"/>
      <c r="DD33" s="125"/>
      <c r="DE33" s="125"/>
      <c r="DF33" s="125"/>
      <c r="DG33" s="125"/>
      <c r="DH33" s="125"/>
      <c r="DI33" s="125"/>
      <c r="DJ33" s="125"/>
      <c r="DK33" s="125"/>
      <c r="DL33" s="125"/>
      <c r="DM33" s="125"/>
      <c r="DN33" s="125"/>
      <c r="DO33" s="125"/>
      <c r="DP33" s="125"/>
      <c r="DQ33" s="125"/>
      <c r="DR33" s="125"/>
      <c r="DS33" s="125"/>
      <c r="DT33" s="125"/>
      <c r="DU33" s="125"/>
      <c r="DV33" s="125"/>
      <c r="DW33" s="125"/>
      <c r="DX33" s="125"/>
      <c r="DY33" s="125"/>
      <c r="DZ33" s="125"/>
      <c r="EA33" s="125"/>
      <c r="EB33" s="125"/>
      <c r="EC33" s="125"/>
      <c r="ED33" s="125"/>
      <c r="EE33" s="125"/>
      <c r="EF33" s="125"/>
      <c r="EG33" s="125"/>
      <c r="EH33" s="125"/>
      <c r="EI33" s="125"/>
      <c r="EJ33" s="125"/>
      <c r="EK33" s="125"/>
      <c r="EL33" s="125"/>
      <c r="EM33" s="125"/>
      <c r="EN33" s="125"/>
      <c r="EO33" s="125"/>
      <c r="EP33" s="125"/>
      <c r="EQ33" s="125"/>
      <c r="ER33" s="125"/>
      <c r="ES33" s="125"/>
      <c r="ET33" s="125"/>
      <c r="EU33" s="125"/>
      <c r="EV33" s="125"/>
      <c r="EW33" s="125"/>
      <c r="EX33" s="125"/>
      <c r="EY33" s="125"/>
      <c r="EZ33" s="125"/>
      <c r="FA33" s="125"/>
      <c r="FB33" s="125"/>
      <c r="FC33" s="125"/>
      <c r="FD33" s="125"/>
      <c r="FE33" s="125"/>
      <c r="FF33" s="125"/>
      <c r="FG33" s="125"/>
      <c r="FH33" s="125"/>
      <c r="FI33" s="125"/>
      <c r="FJ33" s="125"/>
      <c r="FK33" s="125"/>
      <c r="FL33" s="125"/>
      <c r="FM33" s="125"/>
      <c r="FN33" s="125"/>
      <c r="FO33" s="125"/>
      <c r="FP33" s="125"/>
      <c r="FQ33" s="125"/>
      <c r="FR33" s="125"/>
      <c r="FS33" s="125"/>
      <c r="FT33" s="125"/>
      <c r="FU33" s="125"/>
      <c r="FV33" s="125"/>
      <c r="FW33" s="125"/>
      <c r="FX33" s="125"/>
      <c r="FY33" s="125"/>
      <c r="FZ33" s="125"/>
      <c r="GA33" s="125"/>
      <c r="GB33" s="125"/>
      <c r="GC33" s="125"/>
      <c r="GD33" s="125"/>
      <c r="GE33" s="125"/>
      <c r="GF33" s="125"/>
      <c r="GG33" s="125"/>
      <c r="GH33" s="125"/>
      <c r="GI33" s="125"/>
      <c r="GJ33" s="125"/>
      <c r="GK33" s="125"/>
      <c r="GL33" s="125"/>
      <c r="GM33" s="125"/>
      <c r="GN33" s="125"/>
      <c r="GO33" s="125"/>
    </row>
    <row r="34" spans="1:241" ht="36.6" x14ac:dyDescent="1.05">
      <c r="A34" s="131" t="s">
        <v>484</v>
      </c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29"/>
      <c r="Q34" s="131"/>
      <c r="R34" s="131"/>
      <c r="S34" s="137" t="s">
        <v>485</v>
      </c>
      <c r="T34" s="129"/>
      <c r="U34" s="129"/>
      <c r="V34" s="131"/>
      <c r="W34" s="131"/>
      <c r="X34" s="131"/>
      <c r="Y34" s="131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5"/>
      <c r="AM34" s="125"/>
      <c r="AN34" s="125"/>
      <c r="AO34" s="125"/>
      <c r="AP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  <c r="CK34" s="125"/>
      <c r="CL34" s="125"/>
      <c r="CM34" s="125"/>
      <c r="CN34" s="125"/>
      <c r="CO34" s="125"/>
      <c r="CP34" s="125"/>
      <c r="CQ34" s="125"/>
      <c r="CR34" s="125"/>
      <c r="CS34" s="125"/>
      <c r="CT34" s="125"/>
      <c r="CU34" s="125"/>
      <c r="CV34" s="125"/>
      <c r="CW34" s="125"/>
      <c r="CX34" s="125"/>
      <c r="CY34" s="125"/>
      <c r="CZ34" s="125"/>
      <c r="DA34" s="125"/>
      <c r="DB34" s="125"/>
      <c r="DC34" s="125"/>
      <c r="DD34" s="125"/>
      <c r="DE34" s="125"/>
      <c r="DF34" s="125"/>
      <c r="DG34" s="125"/>
      <c r="DH34" s="125"/>
      <c r="DI34" s="125"/>
      <c r="DJ34" s="125"/>
      <c r="DK34" s="125"/>
      <c r="DL34" s="125"/>
      <c r="DM34" s="125"/>
      <c r="DN34" s="125"/>
      <c r="DO34" s="125"/>
      <c r="DP34" s="125"/>
      <c r="DQ34" s="125"/>
      <c r="DR34" s="125"/>
      <c r="DS34" s="125"/>
      <c r="DT34" s="125"/>
      <c r="DU34" s="125"/>
      <c r="DV34" s="125"/>
      <c r="DW34" s="125"/>
      <c r="DX34" s="125"/>
      <c r="DY34" s="125"/>
      <c r="DZ34" s="125"/>
      <c r="EA34" s="125"/>
      <c r="EB34" s="125"/>
      <c r="EC34" s="125"/>
      <c r="ED34" s="125"/>
      <c r="EE34" s="125"/>
      <c r="EF34" s="125"/>
      <c r="EG34" s="125"/>
      <c r="EH34" s="125"/>
      <c r="EI34" s="125"/>
      <c r="EJ34" s="125"/>
      <c r="EK34" s="125"/>
      <c r="EL34" s="125"/>
      <c r="EM34" s="125"/>
      <c r="EN34" s="125"/>
      <c r="EO34" s="125"/>
      <c r="EP34" s="125"/>
      <c r="EQ34" s="125"/>
      <c r="ER34" s="125"/>
      <c r="ES34" s="125"/>
      <c r="ET34" s="125"/>
      <c r="EU34" s="125"/>
      <c r="EV34" s="125"/>
      <c r="EW34" s="125"/>
      <c r="EX34" s="125"/>
      <c r="EY34" s="125"/>
      <c r="EZ34" s="125"/>
      <c r="FA34" s="125"/>
      <c r="FB34" s="125"/>
      <c r="FC34" s="125"/>
      <c r="FD34" s="125"/>
      <c r="FE34" s="125"/>
      <c r="FF34" s="125"/>
      <c r="FG34" s="125"/>
      <c r="FH34" s="125"/>
      <c r="FI34" s="125"/>
      <c r="FJ34" s="125"/>
      <c r="FK34" s="125"/>
      <c r="FL34" s="125"/>
      <c r="FM34" s="125"/>
      <c r="FN34" s="125"/>
      <c r="FO34" s="125"/>
      <c r="FP34" s="125"/>
      <c r="FQ34" s="125"/>
      <c r="FR34" s="125"/>
      <c r="FS34" s="125"/>
      <c r="FT34" s="125"/>
      <c r="FU34" s="125"/>
      <c r="FV34" s="125"/>
      <c r="FW34" s="125"/>
      <c r="FX34" s="125"/>
      <c r="FY34" s="125"/>
      <c r="FZ34" s="125"/>
      <c r="GA34" s="125"/>
      <c r="GB34" s="125"/>
      <c r="GC34" s="125"/>
      <c r="GD34" s="125"/>
      <c r="GE34" s="125"/>
      <c r="GF34" s="125"/>
      <c r="GG34" s="125"/>
      <c r="GH34" s="125"/>
      <c r="GI34" s="125"/>
      <c r="GJ34" s="125"/>
      <c r="GK34" s="125"/>
      <c r="GL34" s="125"/>
      <c r="GM34" s="125"/>
      <c r="GN34" s="125"/>
      <c r="GO34" s="125"/>
      <c r="GP34" s="125"/>
      <c r="GQ34" s="125"/>
      <c r="GR34" s="125"/>
      <c r="GS34" s="125"/>
      <c r="GT34" s="125"/>
      <c r="GU34" s="125"/>
      <c r="GV34" s="125"/>
      <c r="GW34" s="125"/>
      <c r="GX34" s="125"/>
      <c r="GY34" s="125"/>
      <c r="GZ34" s="125"/>
      <c r="HA34" s="125"/>
      <c r="HB34" s="125"/>
      <c r="HC34" s="125"/>
      <c r="HD34" s="125"/>
      <c r="HE34" s="125"/>
      <c r="HF34" s="125"/>
      <c r="HG34" s="125"/>
      <c r="HH34" s="125"/>
      <c r="HI34" s="125"/>
      <c r="HJ34" s="125"/>
      <c r="HK34" s="125"/>
      <c r="HL34" s="125"/>
      <c r="HM34" s="125"/>
      <c r="HN34" s="125"/>
      <c r="HO34" s="125"/>
      <c r="HP34" s="125"/>
      <c r="HQ34" s="125"/>
      <c r="HR34" s="125"/>
      <c r="HS34" s="125"/>
      <c r="HT34" s="125"/>
      <c r="HU34" s="125"/>
      <c r="HV34" s="125"/>
      <c r="HW34" s="125"/>
      <c r="HX34" s="125"/>
      <c r="HY34" s="125"/>
      <c r="HZ34" s="125"/>
      <c r="IA34" s="125"/>
      <c r="IB34" s="125"/>
      <c r="IC34" s="125"/>
      <c r="ID34" s="125"/>
      <c r="IE34" s="125"/>
      <c r="IF34" s="125"/>
      <c r="IG34" s="125"/>
    </row>
    <row r="35" spans="1:241" ht="36.6" x14ac:dyDescent="1.05">
      <c r="A35" s="131" t="s">
        <v>486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29"/>
      <c r="Q35" s="131"/>
      <c r="R35" s="131"/>
      <c r="S35" s="137" t="s">
        <v>487</v>
      </c>
      <c r="T35" s="129"/>
      <c r="U35" s="129"/>
      <c r="V35" s="131"/>
      <c r="W35" s="131"/>
      <c r="X35" s="131"/>
      <c r="Y35" s="131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5"/>
      <c r="AM35" s="125"/>
      <c r="AN35" s="125"/>
      <c r="AO35" s="125"/>
      <c r="AP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  <c r="CL35" s="125"/>
      <c r="CM35" s="125"/>
      <c r="CN35" s="125"/>
      <c r="CO35" s="125"/>
      <c r="CP35" s="125"/>
      <c r="CQ35" s="125"/>
      <c r="CR35" s="125"/>
      <c r="CS35" s="125"/>
      <c r="CT35" s="125"/>
      <c r="CU35" s="125"/>
      <c r="CV35" s="125"/>
      <c r="CW35" s="125"/>
      <c r="CX35" s="125"/>
      <c r="CY35" s="125"/>
      <c r="CZ35" s="125"/>
      <c r="DA35" s="125"/>
      <c r="DB35" s="125"/>
      <c r="DC35" s="125"/>
      <c r="DD35" s="125"/>
      <c r="DE35" s="125"/>
      <c r="DF35" s="125"/>
      <c r="DG35" s="125"/>
      <c r="DH35" s="125"/>
      <c r="DI35" s="125"/>
      <c r="DJ35" s="125"/>
      <c r="DK35" s="125"/>
      <c r="DL35" s="125"/>
      <c r="DM35" s="125"/>
      <c r="DN35" s="125"/>
      <c r="DO35" s="125"/>
      <c r="DP35" s="125"/>
      <c r="DQ35" s="125"/>
      <c r="DR35" s="125"/>
      <c r="DS35" s="125"/>
      <c r="DT35" s="125"/>
      <c r="DU35" s="125"/>
      <c r="DV35" s="125"/>
      <c r="DW35" s="125"/>
      <c r="DX35" s="125"/>
      <c r="DY35" s="125"/>
      <c r="DZ35" s="125"/>
      <c r="EA35" s="125"/>
      <c r="EB35" s="125"/>
      <c r="EC35" s="125"/>
      <c r="ED35" s="125"/>
      <c r="EE35" s="125"/>
      <c r="EF35" s="125"/>
      <c r="EG35" s="125"/>
      <c r="EH35" s="125"/>
      <c r="EI35" s="125"/>
      <c r="EJ35" s="125"/>
      <c r="EK35" s="125"/>
      <c r="EL35" s="125"/>
      <c r="EM35" s="125"/>
      <c r="EN35" s="125"/>
      <c r="EO35" s="125"/>
      <c r="EP35" s="125"/>
      <c r="EQ35" s="125"/>
      <c r="ER35" s="125"/>
      <c r="ES35" s="125"/>
      <c r="ET35" s="125"/>
      <c r="EU35" s="125"/>
      <c r="EV35" s="125"/>
      <c r="EW35" s="125"/>
      <c r="EX35" s="125"/>
      <c r="EY35" s="125"/>
      <c r="EZ35" s="125"/>
      <c r="FA35" s="125"/>
      <c r="FB35" s="125"/>
      <c r="FC35" s="125"/>
      <c r="FD35" s="125"/>
      <c r="FE35" s="125"/>
      <c r="FF35" s="125"/>
      <c r="FG35" s="125"/>
      <c r="FH35" s="125"/>
      <c r="FI35" s="125"/>
      <c r="FJ35" s="125"/>
      <c r="FK35" s="125"/>
      <c r="FL35" s="125"/>
      <c r="FM35" s="125"/>
      <c r="FN35" s="125"/>
      <c r="FO35" s="125"/>
      <c r="FP35" s="125"/>
      <c r="FQ35" s="125"/>
      <c r="FR35" s="125"/>
      <c r="FS35" s="125"/>
      <c r="FT35" s="125"/>
      <c r="FU35" s="125"/>
      <c r="FV35" s="125"/>
      <c r="FW35" s="125"/>
      <c r="FX35" s="125"/>
      <c r="FY35" s="125"/>
      <c r="FZ35" s="125"/>
      <c r="GA35" s="125"/>
      <c r="GB35" s="125"/>
      <c r="GC35" s="125"/>
      <c r="GD35" s="125"/>
      <c r="GE35" s="125"/>
      <c r="GF35" s="125"/>
      <c r="GG35" s="125"/>
      <c r="GH35" s="125"/>
      <c r="GI35" s="125"/>
      <c r="GJ35" s="125"/>
      <c r="GK35" s="125"/>
      <c r="GL35" s="125"/>
      <c r="GM35" s="125"/>
      <c r="GN35" s="125"/>
      <c r="GO35" s="125"/>
      <c r="GP35" s="125"/>
      <c r="GQ35" s="125"/>
      <c r="GR35" s="125"/>
      <c r="GS35" s="125"/>
      <c r="GT35" s="125"/>
      <c r="GU35" s="125"/>
      <c r="GV35" s="125"/>
      <c r="GW35" s="125"/>
      <c r="GX35" s="125"/>
      <c r="GY35" s="125"/>
      <c r="GZ35" s="125"/>
      <c r="HA35" s="125"/>
      <c r="HB35" s="125"/>
      <c r="HC35" s="125"/>
      <c r="HD35" s="125"/>
      <c r="HE35" s="125"/>
      <c r="HF35" s="125"/>
      <c r="HG35" s="125"/>
      <c r="HH35" s="125"/>
      <c r="HI35" s="125"/>
      <c r="HJ35" s="125"/>
      <c r="HK35" s="125"/>
      <c r="HL35" s="125"/>
      <c r="HM35" s="125"/>
      <c r="HN35" s="125"/>
      <c r="HO35" s="125"/>
      <c r="HP35" s="125"/>
      <c r="HQ35" s="125"/>
      <c r="HR35" s="125"/>
      <c r="HS35" s="125"/>
      <c r="HT35" s="125"/>
      <c r="HU35" s="125"/>
      <c r="HV35" s="125"/>
      <c r="HW35" s="125"/>
      <c r="HX35" s="125"/>
      <c r="HY35" s="125"/>
      <c r="HZ35" s="125"/>
      <c r="IA35" s="125"/>
      <c r="IB35" s="125"/>
      <c r="IC35" s="125"/>
      <c r="ID35" s="125"/>
      <c r="IE35" s="125"/>
      <c r="IF35" s="125"/>
      <c r="IG35" s="125"/>
    </row>
    <row r="36" spans="1:241" ht="36.6" x14ac:dyDescent="1.05">
      <c r="A36" s="131" t="s">
        <v>488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29"/>
      <c r="Q36" s="131"/>
      <c r="R36" s="131"/>
      <c r="S36" s="137" t="s">
        <v>489</v>
      </c>
      <c r="T36" s="129"/>
      <c r="U36" s="129"/>
      <c r="V36" s="131"/>
      <c r="W36" s="131"/>
      <c r="X36" s="131"/>
      <c r="Y36" s="131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30"/>
      <c r="AM36" s="130"/>
      <c r="AN36" s="130"/>
      <c r="AO36" s="130"/>
      <c r="AP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  <c r="BY36" s="130"/>
      <c r="BZ36" s="130"/>
      <c r="CA36" s="130"/>
      <c r="CB36" s="130"/>
      <c r="CC36" s="130"/>
      <c r="CD36" s="130"/>
      <c r="CE36" s="130"/>
      <c r="CF36" s="130"/>
      <c r="CG36" s="130"/>
      <c r="CH36" s="130"/>
      <c r="CI36" s="130"/>
      <c r="CJ36" s="130"/>
      <c r="CK36" s="130"/>
      <c r="CL36" s="130"/>
      <c r="CM36" s="130"/>
      <c r="CN36" s="130"/>
      <c r="CO36" s="130"/>
      <c r="CP36" s="130"/>
      <c r="CQ36" s="130"/>
      <c r="CR36" s="130"/>
      <c r="CS36" s="130"/>
      <c r="CT36" s="130"/>
      <c r="CU36" s="130"/>
      <c r="CV36" s="130"/>
      <c r="CW36" s="130"/>
      <c r="CX36" s="130"/>
      <c r="CY36" s="130"/>
      <c r="CZ36" s="130"/>
      <c r="DA36" s="130"/>
      <c r="DB36" s="130"/>
      <c r="DC36" s="130"/>
      <c r="DD36" s="130"/>
      <c r="DE36" s="130"/>
      <c r="DF36" s="130"/>
      <c r="DG36" s="130"/>
      <c r="DH36" s="130"/>
      <c r="DI36" s="130"/>
      <c r="DJ36" s="130"/>
      <c r="DK36" s="130"/>
      <c r="DL36" s="130"/>
      <c r="DM36" s="130"/>
      <c r="DN36" s="130"/>
      <c r="DO36" s="130"/>
      <c r="DP36" s="130"/>
      <c r="DQ36" s="130"/>
      <c r="DR36" s="130"/>
      <c r="DS36" s="130"/>
      <c r="DT36" s="130"/>
      <c r="DU36" s="130"/>
      <c r="DV36" s="130"/>
      <c r="DW36" s="130"/>
      <c r="DX36" s="130"/>
      <c r="DY36" s="130"/>
      <c r="DZ36" s="130"/>
      <c r="EA36" s="130"/>
      <c r="EB36" s="130"/>
      <c r="EC36" s="130"/>
      <c r="ED36" s="130"/>
      <c r="EE36" s="130"/>
      <c r="EF36" s="130"/>
      <c r="EG36" s="130"/>
      <c r="EH36" s="130"/>
      <c r="EI36" s="130"/>
      <c r="EJ36" s="130"/>
      <c r="EK36" s="130"/>
      <c r="EL36" s="130"/>
      <c r="EM36" s="130"/>
      <c r="EN36" s="130"/>
      <c r="EO36" s="130"/>
      <c r="EP36" s="130"/>
      <c r="EQ36" s="130"/>
      <c r="ER36" s="130"/>
      <c r="ES36" s="130"/>
      <c r="ET36" s="130"/>
      <c r="EU36" s="130"/>
      <c r="EV36" s="130"/>
      <c r="EW36" s="130"/>
      <c r="EX36" s="130"/>
      <c r="EY36" s="130"/>
      <c r="EZ36" s="130"/>
      <c r="FA36" s="130"/>
      <c r="FB36" s="130"/>
      <c r="FC36" s="130"/>
      <c r="FD36" s="130"/>
      <c r="FE36" s="130"/>
      <c r="FF36" s="130"/>
      <c r="FG36" s="130"/>
      <c r="FH36" s="130"/>
      <c r="FI36" s="130"/>
      <c r="FJ36" s="130"/>
      <c r="FK36" s="130"/>
      <c r="FL36" s="130"/>
      <c r="FM36" s="130"/>
      <c r="FN36" s="130"/>
      <c r="FO36" s="130"/>
      <c r="FP36" s="130"/>
      <c r="FQ36" s="130"/>
      <c r="FR36" s="130"/>
      <c r="FS36" s="130"/>
      <c r="FT36" s="130"/>
      <c r="FU36" s="130"/>
      <c r="FV36" s="130"/>
      <c r="FW36" s="130"/>
      <c r="FX36" s="130"/>
      <c r="FY36" s="130"/>
      <c r="FZ36" s="130"/>
      <c r="GA36" s="130"/>
      <c r="GB36" s="130"/>
      <c r="GC36" s="130"/>
      <c r="GD36" s="130"/>
      <c r="GE36" s="130"/>
      <c r="GF36" s="130"/>
      <c r="GG36" s="130"/>
      <c r="GH36" s="130"/>
      <c r="GI36" s="130"/>
      <c r="GJ36" s="130"/>
      <c r="GK36" s="130"/>
      <c r="GL36" s="130"/>
      <c r="GM36" s="130"/>
      <c r="GN36" s="130"/>
      <c r="GO36" s="130"/>
      <c r="GP36" s="130"/>
      <c r="GQ36" s="130"/>
      <c r="GR36" s="130"/>
      <c r="GS36" s="130"/>
      <c r="GT36" s="130"/>
      <c r="GU36" s="130"/>
      <c r="GV36" s="130"/>
      <c r="GW36" s="130"/>
      <c r="GX36" s="130"/>
      <c r="GY36" s="130"/>
      <c r="GZ36" s="130"/>
      <c r="HA36" s="130"/>
      <c r="HB36" s="130"/>
      <c r="HC36" s="130"/>
      <c r="HD36" s="130"/>
      <c r="HE36" s="130"/>
      <c r="HF36" s="130"/>
      <c r="HG36" s="130"/>
      <c r="HH36" s="130"/>
      <c r="HI36" s="130"/>
      <c r="HJ36" s="130"/>
      <c r="HK36" s="130"/>
      <c r="HL36" s="130"/>
      <c r="HM36" s="130"/>
      <c r="HN36" s="130"/>
      <c r="HO36" s="130"/>
      <c r="HP36" s="130"/>
      <c r="HQ36" s="130"/>
      <c r="HR36" s="130"/>
      <c r="HS36" s="130"/>
      <c r="HT36" s="130"/>
      <c r="HU36" s="130"/>
      <c r="HV36" s="130"/>
      <c r="HW36" s="130"/>
      <c r="HX36" s="130"/>
      <c r="HY36" s="130"/>
      <c r="HZ36" s="130"/>
      <c r="IA36" s="130"/>
      <c r="IB36" s="130"/>
      <c r="IC36" s="130"/>
      <c r="ID36" s="130"/>
      <c r="IE36" s="130"/>
      <c r="IF36" s="130"/>
      <c r="IG36" s="130"/>
    </row>
    <row r="37" spans="1:241" ht="36.6" x14ac:dyDescent="1.05">
      <c r="A37" s="131" t="s">
        <v>490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7" t="s">
        <v>491</v>
      </c>
      <c r="T37" s="129"/>
      <c r="U37" s="129"/>
      <c r="V37" s="131"/>
      <c r="W37" s="131"/>
      <c r="X37" s="131"/>
      <c r="Y37" s="131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5"/>
      <c r="AM37" s="125"/>
      <c r="AN37" s="125"/>
      <c r="AO37" s="125"/>
      <c r="AP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s="125"/>
      <c r="CU37" s="125"/>
      <c r="CV37" s="125"/>
      <c r="CW37" s="125"/>
      <c r="CX37" s="125"/>
      <c r="CY37" s="125"/>
      <c r="CZ37" s="125"/>
      <c r="DA37" s="125"/>
      <c r="DB37" s="125"/>
      <c r="DC37" s="125"/>
      <c r="DD37" s="125"/>
      <c r="DE37" s="125"/>
      <c r="DF37" s="125"/>
      <c r="DG37" s="125"/>
      <c r="DH37" s="125"/>
      <c r="DI37" s="125"/>
      <c r="DJ37" s="125"/>
      <c r="DK37" s="125"/>
      <c r="DL37" s="125"/>
      <c r="DM37" s="125"/>
      <c r="DN37" s="125"/>
      <c r="DO37" s="125"/>
      <c r="DP37" s="125"/>
      <c r="DQ37" s="125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5"/>
      <c r="EC37" s="125"/>
      <c r="ED37" s="125"/>
      <c r="EE37" s="125"/>
      <c r="EF37" s="125"/>
      <c r="EG37" s="125"/>
      <c r="EH37" s="125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/>
      <c r="FJ37" s="125"/>
      <c r="FK37" s="125"/>
      <c r="FL37" s="125"/>
      <c r="FM37" s="125"/>
      <c r="FN37" s="125"/>
      <c r="FO37" s="125"/>
      <c r="FP37" s="125"/>
      <c r="FQ37" s="125"/>
      <c r="FR37" s="125"/>
      <c r="FS37" s="125"/>
      <c r="FT37" s="125"/>
      <c r="FU37" s="125"/>
      <c r="FV37" s="125"/>
      <c r="FW37" s="125"/>
      <c r="FX37" s="125"/>
      <c r="FY37" s="125"/>
      <c r="FZ37" s="125"/>
      <c r="GA37" s="125"/>
      <c r="GB37" s="125"/>
      <c r="GC37" s="125"/>
      <c r="GD37" s="125"/>
      <c r="GE37" s="125"/>
      <c r="GF37" s="125"/>
      <c r="GG37" s="125"/>
      <c r="GH37" s="125"/>
      <c r="GI37" s="125"/>
      <c r="GJ37" s="125"/>
      <c r="GK37" s="125"/>
      <c r="GL37" s="125"/>
      <c r="GM37" s="125"/>
    </row>
    <row r="38" spans="1:241" ht="36.6" x14ac:dyDescent="1.05">
      <c r="A38" s="129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7" t="s">
        <v>492</v>
      </c>
      <c r="T38" s="131"/>
      <c r="U38" s="129"/>
      <c r="V38" s="131"/>
      <c r="W38" s="131"/>
      <c r="X38" s="131"/>
      <c r="Y38" s="131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5"/>
      <c r="AM38" s="125"/>
      <c r="AN38" s="125"/>
      <c r="AO38" s="125"/>
      <c r="AP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  <c r="CK38" s="125"/>
      <c r="CL38" s="125"/>
      <c r="CM38" s="125"/>
      <c r="CN38" s="125"/>
      <c r="CO38" s="125"/>
      <c r="CP38" s="125"/>
      <c r="CQ38" s="125"/>
      <c r="CR38" s="125"/>
      <c r="CS38" s="125"/>
      <c r="CT38" s="125"/>
      <c r="CU38" s="125"/>
      <c r="CV38" s="125"/>
      <c r="CW38" s="125"/>
      <c r="CX38" s="125"/>
      <c r="CY38" s="125"/>
      <c r="CZ38" s="125"/>
      <c r="DA38" s="125"/>
      <c r="DB38" s="125"/>
      <c r="DC38" s="125"/>
      <c r="DD38" s="125"/>
      <c r="DE38" s="125"/>
      <c r="DF38" s="125"/>
      <c r="DG38" s="125"/>
      <c r="DH38" s="125"/>
      <c r="DI38" s="125"/>
      <c r="DJ38" s="125"/>
      <c r="DK38" s="125"/>
      <c r="DL38" s="125"/>
      <c r="DM38" s="125"/>
      <c r="DN38" s="125"/>
      <c r="DO38" s="125"/>
      <c r="DP38" s="125"/>
      <c r="DQ38" s="125"/>
      <c r="DR38" s="125"/>
      <c r="DS38" s="125"/>
      <c r="DT38" s="125"/>
      <c r="DU38" s="125"/>
      <c r="DV38" s="125"/>
      <c r="DW38" s="125"/>
      <c r="DX38" s="125"/>
      <c r="DY38" s="125"/>
      <c r="DZ38" s="125"/>
      <c r="EA38" s="125"/>
      <c r="EB38" s="125"/>
      <c r="EC38" s="125"/>
      <c r="ED38" s="125"/>
      <c r="EE38" s="125"/>
      <c r="EF38" s="125"/>
      <c r="EG38" s="125"/>
      <c r="EH38" s="125"/>
      <c r="EI38" s="125"/>
      <c r="EJ38" s="125"/>
      <c r="EK38" s="125"/>
      <c r="EL38" s="125"/>
      <c r="EM38" s="125"/>
      <c r="EN38" s="125"/>
      <c r="EO38" s="125"/>
      <c r="EP38" s="125"/>
      <c r="EQ38" s="125"/>
      <c r="ER38" s="125"/>
      <c r="ES38" s="125"/>
      <c r="ET38" s="125"/>
      <c r="EU38" s="125"/>
      <c r="EV38" s="125"/>
      <c r="EW38" s="125"/>
      <c r="EX38" s="125"/>
      <c r="EY38" s="125"/>
      <c r="EZ38" s="125"/>
      <c r="FA38" s="125"/>
      <c r="FB38" s="125"/>
      <c r="FC38" s="125"/>
      <c r="FD38" s="125"/>
      <c r="FE38" s="125"/>
      <c r="FF38" s="125"/>
      <c r="FG38" s="125"/>
      <c r="FH38" s="125"/>
      <c r="FI38" s="125"/>
      <c r="FJ38" s="125"/>
      <c r="FK38" s="125"/>
      <c r="FL38" s="125"/>
      <c r="FM38" s="125"/>
      <c r="FN38" s="125"/>
      <c r="FO38" s="125"/>
      <c r="FP38" s="125"/>
      <c r="FQ38" s="125"/>
      <c r="FR38" s="125"/>
      <c r="FS38" s="125"/>
      <c r="FT38" s="125"/>
      <c r="FU38" s="125"/>
      <c r="FV38" s="125"/>
      <c r="FW38" s="125"/>
      <c r="FX38" s="125"/>
      <c r="FY38" s="125"/>
      <c r="FZ38" s="125"/>
      <c r="GA38" s="125"/>
      <c r="GB38" s="125"/>
      <c r="GC38" s="125"/>
      <c r="GD38" s="125"/>
      <c r="GE38" s="125"/>
      <c r="GF38" s="125"/>
      <c r="GG38" s="125"/>
      <c r="GH38" s="125"/>
      <c r="GI38" s="125"/>
      <c r="GJ38" s="125"/>
      <c r="GK38" s="125"/>
      <c r="GL38" s="125"/>
      <c r="GM38" s="125"/>
    </row>
    <row r="39" spans="1:241" ht="36.6" x14ac:dyDescent="1.05">
      <c r="A39" s="134" t="s">
        <v>493</v>
      </c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7" t="s">
        <v>494</v>
      </c>
      <c r="T39" s="131"/>
      <c r="U39" s="129"/>
      <c r="V39" s="131"/>
      <c r="W39" s="131"/>
      <c r="X39" s="131"/>
      <c r="Y39" s="131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5"/>
      <c r="AM39" s="125"/>
      <c r="AN39" s="125"/>
      <c r="AO39" s="125"/>
      <c r="AP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  <c r="CK39" s="125"/>
      <c r="CL39" s="125"/>
      <c r="CM39" s="125"/>
      <c r="CN39" s="125"/>
      <c r="CO39" s="125"/>
      <c r="CP39" s="125"/>
      <c r="CQ39" s="125"/>
      <c r="CR39" s="125"/>
      <c r="CS39" s="125"/>
      <c r="CT39" s="125"/>
      <c r="CU39" s="125"/>
      <c r="CV39" s="125"/>
      <c r="CW39" s="125"/>
      <c r="CX39" s="125"/>
      <c r="CY39" s="125"/>
      <c r="CZ39" s="125"/>
      <c r="DA39" s="125"/>
      <c r="DB39" s="125"/>
      <c r="DC39" s="125"/>
      <c r="DD39" s="125"/>
      <c r="DE39" s="125"/>
      <c r="DF39" s="125"/>
      <c r="DG39" s="125"/>
      <c r="DH39" s="125"/>
      <c r="DI39" s="125"/>
      <c r="DJ39" s="125"/>
      <c r="DK39" s="125"/>
      <c r="DL39" s="125"/>
      <c r="DM39" s="125"/>
      <c r="DN39" s="125"/>
      <c r="DO39" s="125"/>
      <c r="DP39" s="125"/>
      <c r="DQ39" s="125"/>
      <c r="DR39" s="125"/>
      <c r="DS39" s="125"/>
      <c r="DT39" s="125"/>
      <c r="DU39" s="125"/>
      <c r="DV39" s="125"/>
      <c r="DW39" s="125"/>
      <c r="DX39" s="125"/>
      <c r="DY39" s="125"/>
      <c r="DZ39" s="125"/>
      <c r="EA39" s="125"/>
      <c r="EB39" s="125"/>
      <c r="EC39" s="125"/>
      <c r="ED39" s="125"/>
      <c r="EE39" s="125"/>
      <c r="EF39" s="125"/>
      <c r="EG39" s="125"/>
      <c r="EH39" s="125"/>
      <c r="EI39" s="125"/>
      <c r="EJ39" s="125"/>
      <c r="EK39" s="125"/>
      <c r="EL39" s="125"/>
      <c r="EM39" s="125"/>
      <c r="EN39" s="125"/>
      <c r="EO39" s="125"/>
      <c r="EP39" s="125"/>
      <c r="EQ39" s="125"/>
      <c r="ER39" s="125"/>
      <c r="ES39" s="125"/>
      <c r="ET39" s="125"/>
      <c r="EU39" s="125"/>
      <c r="EV39" s="125"/>
      <c r="EW39" s="125"/>
      <c r="EX39" s="125"/>
      <c r="EY39" s="125"/>
      <c r="EZ39" s="125"/>
      <c r="FA39" s="125"/>
      <c r="FB39" s="125"/>
      <c r="FC39" s="125"/>
      <c r="FD39" s="125"/>
      <c r="FE39" s="125"/>
      <c r="FF39" s="125"/>
      <c r="FG39" s="125"/>
      <c r="FH39" s="125"/>
      <c r="FI39" s="125"/>
      <c r="FJ39" s="125"/>
      <c r="FK39" s="125"/>
      <c r="FL39" s="125"/>
      <c r="FM39" s="125"/>
      <c r="FN39" s="125"/>
      <c r="FO39" s="125"/>
      <c r="FP39" s="125"/>
      <c r="FQ39" s="125"/>
      <c r="FR39" s="125"/>
      <c r="FS39" s="125"/>
      <c r="FT39" s="125"/>
      <c r="FU39" s="125"/>
      <c r="FV39" s="125"/>
      <c r="FW39" s="125"/>
      <c r="FX39" s="125"/>
      <c r="FY39" s="125"/>
      <c r="FZ39" s="125"/>
      <c r="GA39" s="125"/>
      <c r="GB39" s="125"/>
      <c r="GC39" s="125"/>
      <c r="GD39" s="125"/>
      <c r="GE39" s="125"/>
      <c r="GF39" s="125"/>
      <c r="GG39" s="125"/>
      <c r="GH39" s="125"/>
      <c r="GI39" s="125"/>
      <c r="GJ39" s="125"/>
      <c r="GK39" s="125"/>
      <c r="GL39" s="125"/>
      <c r="GM39" s="125"/>
    </row>
    <row r="40" spans="1:241" ht="36.6" x14ac:dyDescent="1.05">
      <c r="A40" s="131" t="s">
        <v>495</v>
      </c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7" t="s">
        <v>496</v>
      </c>
      <c r="T40" s="131"/>
      <c r="U40" s="129"/>
      <c r="V40" s="131"/>
      <c r="W40" s="131"/>
      <c r="X40" s="128"/>
      <c r="Y40" s="131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  <c r="CK40" s="125"/>
      <c r="CL40" s="125"/>
      <c r="CM40" s="125"/>
      <c r="CN40" s="125"/>
      <c r="CO40" s="125"/>
      <c r="CP40" s="125"/>
      <c r="CQ40" s="125"/>
      <c r="CR40" s="125"/>
      <c r="CS40" s="125"/>
      <c r="CT40" s="125"/>
      <c r="CU40" s="125"/>
      <c r="CV40" s="125"/>
      <c r="CW40" s="125"/>
      <c r="CX40" s="125"/>
      <c r="CY40" s="125"/>
      <c r="CZ40" s="125"/>
      <c r="DA40" s="125"/>
      <c r="DB40" s="125"/>
      <c r="DC40" s="125"/>
      <c r="DD40" s="125"/>
      <c r="DE40" s="125"/>
      <c r="DF40" s="125"/>
      <c r="DG40" s="125"/>
      <c r="DH40" s="125"/>
      <c r="DI40" s="125"/>
      <c r="DJ40" s="125"/>
      <c r="DK40" s="125"/>
      <c r="DL40" s="125"/>
      <c r="DM40" s="125"/>
      <c r="DN40" s="125"/>
      <c r="DO40" s="125"/>
      <c r="DP40" s="125"/>
      <c r="DQ40" s="125"/>
      <c r="DR40" s="125"/>
      <c r="DS40" s="125"/>
      <c r="DT40" s="125"/>
      <c r="DU40" s="125"/>
      <c r="DV40" s="125"/>
      <c r="DW40" s="125"/>
      <c r="DX40" s="125"/>
      <c r="DY40" s="125"/>
      <c r="DZ40" s="125"/>
      <c r="EA40" s="125"/>
      <c r="EB40" s="125"/>
      <c r="EC40" s="125"/>
      <c r="ED40" s="125"/>
      <c r="EE40" s="125"/>
      <c r="EF40" s="125"/>
      <c r="EG40" s="125"/>
      <c r="EH40" s="125"/>
      <c r="EI40" s="125"/>
      <c r="EJ40" s="125"/>
      <c r="EK40" s="125"/>
      <c r="EL40" s="125"/>
      <c r="EM40" s="125"/>
      <c r="EN40" s="125"/>
      <c r="EO40" s="125"/>
      <c r="EP40" s="125"/>
      <c r="EQ40" s="125"/>
      <c r="ER40" s="125"/>
      <c r="ES40" s="125"/>
      <c r="ET40" s="125"/>
      <c r="EU40" s="125"/>
      <c r="EV40" s="125"/>
      <c r="EW40" s="125"/>
      <c r="EX40" s="125"/>
      <c r="EY40" s="125"/>
      <c r="EZ40" s="125"/>
      <c r="FA40" s="125"/>
      <c r="FB40" s="125"/>
      <c r="FC40" s="125"/>
      <c r="FD40" s="125"/>
      <c r="FE40" s="125"/>
      <c r="FF40" s="125"/>
      <c r="FG40" s="125"/>
      <c r="FH40" s="125"/>
      <c r="FI40" s="125"/>
      <c r="FJ40" s="125"/>
      <c r="FK40" s="125"/>
      <c r="FL40" s="125"/>
      <c r="FM40" s="125"/>
      <c r="FN40" s="125"/>
      <c r="FO40" s="125"/>
      <c r="FP40" s="125"/>
      <c r="FQ40" s="125"/>
      <c r="FR40" s="125"/>
      <c r="FS40" s="125"/>
      <c r="FT40" s="125"/>
      <c r="FU40" s="125"/>
      <c r="FV40" s="125"/>
      <c r="FW40" s="125"/>
      <c r="FX40" s="125"/>
      <c r="FY40" s="125"/>
      <c r="FZ40" s="125"/>
      <c r="GA40" s="125"/>
      <c r="GB40" s="125"/>
      <c r="GC40" s="125"/>
      <c r="GD40" s="125"/>
      <c r="GE40" s="125"/>
      <c r="GF40" s="125"/>
      <c r="GG40" s="125"/>
      <c r="GH40" s="125"/>
      <c r="GI40" s="125"/>
      <c r="GJ40" s="125"/>
      <c r="GK40" s="125"/>
      <c r="GL40" s="125"/>
      <c r="GM40" s="125"/>
    </row>
    <row r="41" spans="1:241" ht="36.6" x14ac:dyDescent="1.05">
      <c r="A41" s="131" t="s">
        <v>497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7" t="s">
        <v>498</v>
      </c>
      <c r="T41" s="129"/>
      <c r="U41" s="131"/>
      <c r="V41" s="131"/>
      <c r="W41" s="128"/>
      <c r="X41" s="131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  <c r="CK41" s="125"/>
      <c r="CL41" s="125"/>
      <c r="CM41" s="125"/>
      <c r="CN41" s="125"/>
      <c r="CO41" s="125"/>
      <c r="CP41" s="125"/>
      <c r="CQ41" s="125"/>
      <c r="CR41" s="125"/>
      <c r="CS41" s="125"/>
      <c r="CT41" s="125"/>
      <c r="CU41" s="125"/>
      <c r="CV41" s="125"/>
      <c r="CW41" s="125"/>
      <c r="CX41" s="125"/>
      <c r="CY41" s="125"/>
      <c r="CZ41" s="125"/>
      <c r="DA41" s="125"/>
      <c r="DB41" s="125"/>
      <c r="DC41" s="125"/>
      <c r="DD41" s="125"/>
      <c r="DE41" s="125"/>
      <c r="DF41" s="125"/>
      <c r="DG41" s="125"/>
      <c r="DH41" s="125"/>
      <c r="DI41" s="125"/>
      <c r="DJ41" s="125"/>
      <c r="DK41" s="125"/>
      <c r="DL41" s="125"/>
      <c r="DM41" s="125"/>
      <c r="DN41" s="125"/>
      <c r="DO41" s="125"/>
      <c r="DP41" s="125"/>
      <c r="DQ41" s="125"/>
      <c r="DR41" s="125"/>
      <c r="DS41" s="125"/>
      <c r="DT41" s="125"/>
      <c r="DU41" s="125"/>
      <c r="DV41" s="125"/>
      <c r="DW41" s="125"/>
      <c r="DX41" s="125"/>
      <c r="DY41" s="125"/>
      <c r="DZ41" s="125"/>
      <c r="EA41" s="125"/>
      <c r="EB41" s="125"/>
      <c r="EC41" s="125"/>
      <c r="ED41" s="125"/>
      <c r="EE41" s="125"/>
      <c r="EF41" s="125"/>
      <c r="EG41" s="125"/>
      <c r="EH41" s="125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5"/>
      <c r="FQ41" s="125"/>
      <c r="FR41" s="125"/>
      <c r="FS41" s="125"/>
      <c r="FT41" s="125"/>
      <c r="FU41" s="125"/>
      <c r="FV41" s="125"/>
      <c r="FW41" s="125"/>
      <c r="FX41" s="125"/>
      <c r="FY41" s="125"/>
      <c r="FZ41" s="125"/>
      <c r="GA41" s="125"/>
      <c r="GB41" s="125"/>
      <c r="GC41" s="125"/>
      <c r="GD41" s="125"/>
      <c r="GE41" s="125"/>
      <c r="GF41" s="125"/>
      <c r="GG41" s="125"/>
      <c r="GH41" s="125"/>
      <c r="GI41" s="125"/>
      <c r="GJ41" s="125"/>
      <c r="GK41" s="125"/>
      <c r="GL41" s="125"/>
      <c r="GM41" s="125"/>
    </row>
    <row r="42" spans="1:241" ht="36.6" x14ac:dyDescent="1.05">
      <c r="A42" s="131" t="s">
        <v>499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7" t="s">
        <v>500</v>
      </c>
      <c r="T42" s="129"/>
      <c r="U42" s="131"/>
      <c r="V42" s="131"/>
      <c r="W42" s="134"/>
      <c r="X42" s="131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  <c r="DG42" s="125"/>
      <c r="DH42" s="125"/>
      <c r="DI42" s="125"/>
      <c r="DJ42" s="125"/>
      <c r="DK42" s="125"/>
      <c r="DL42" s="125"/>
      <c r="DM42" s="125"/>
      <c r="DN42" s="125"/>
      <c r="DO42" s="125"/>
      <c r="DP42" s="125"/>
      <c r="DQ42" s="125"/>
      <c r="DR42" s="125"/>
      <c r="DS42" s="125"/>
      <c r="DT42" s="125"/>
      <c r="DU42" s="125"/>
      <c r="DV42" s="125"/>
      <c r="DW42" s="125"/>
      <c r="DX42" s="125"/>
      <c r="DY42" s="125"/>
      <c r="DZ42" s="125"/>
      <c r="EA42" s="125"/>
      <c r="EB42" s="125"/>
      <c r="EC42" s="125"/>
      <c r="ED42" s="125"/>
      <c r="EE42" s="125"/>
      <c r="EF42" s="125"/>
      <c r="EG42" s="125"/>
      <c r="EH42" s="125"/>
      <c r="EI42" s="125"/>
      <c r="EJ42" s="125"/>
      <c r="EK42" s="125"/>
      <c r="EL42" s="125"/>
      <c r="EM42" s="125"/>
      <c r="EN42" s="125"/>
      <c r="EO42" s="125"/>
      <c r="EP42" s="125"/>
      <c r="EQ42" s="125"/>
      <c r="ER42" s="125"/>
      <c r="ES42" s="125"/>
      <c r="ET42" s="125"/>
      <c r="EU42" s="125"/>
      <c r="EV42" s="125"/>
      <c r="EW42" s="125"/>
      <c r="EX42" s="125"/>
      <c r="EY42" s="125"/>
      <c r="EZ42" s="125"/>
      <c r="FA42" s="125"/>
      <c r="FB42" s="125"/>
      <c r="FC42" s="125"/>
      <c r="FD42" s="125"/>
      <c r="FE42" s="125"/>
      <c r="FF42" s="125"/>
      <c r="FG42" s="125"/>
      <c r="FH42" s="125"/>
      <c r="FI42" s="125"/>
      <c r="FJ42" s="125"/>
      <c r="FK42" s="125"/>
      <c r="FL42" s="125"/>
      <c r="FM42" s="125"/>
      <c r="FN42" s="125"/>
      <c r="FO42" s="125"/>
      <c r="FP42" s="125"/>
      <c r="FQ42" s="125"/>
      <c r="FR42" s="125"/>
      <c r="FS42" s="125"/>
      <c r="FT42" s="125"/>
      <c r="FU42" s="125"/>
      <c r="FV42" s="125"/>
      <c r="FW42" s="125"/>
      <c r="FX42" s="125"/>
      <c r="FY42" s="125"/>
      <c r="FZ42" s="125"/>
      <c r="GA42" s="125"/>
      <c r="GB42" s="125"/>
      <c r="GC42" s="125"/>
      <c r="GD42" s="125"/>
      <c r="GE42" s="125"/>
      <c r="GF42" s="125"/>
      <c r="GG42" s="125"/>
      <c r="GH42" s="125"/>
      <c r="GI42" s="125"/>
      <c r="GJ42" s="125"/>
      <c r="GK42" s="125"/>
      <c r="GL42" s="125"/>
      <c r="GM42" s="125"/>
      <c r="GN42" s="125"/>
      <c r="GO42" s="125"/>
      <c r="GP42" s="125"/>
      <c r="GQ42" s="125"/>
      <c r="GR42" s="125"/>
      <c r="GS42" s="125"/>
      <c r="GT42" s="125"/>
      <c r="GU42" s="125"/>
      <c r="GV42" s="125"/>
      <c r="GW42" s="125"/>
      <c r="GX42" s="125"/>
      <c r="GY42" s="125"/>
      <c r="GZ42" s="125"/>
      <c r="HA42" s="125"/>
      <c r="HB42" s="125"/>
      <c r="HC42" s="125"/>
      <c r="HD42" s="125"/>
      <c r="HE42" s="125"/>
      <c r="HF42" s="125"/>
      <c r="HG42" s="125"/>
      <c r="HH42" s="125"/>
      <c r="HI42" s="125"/>
      <c r="HJ42" s="125"/>
      <c r="HK42" s="125"/>
      <c r="HL42" s="125"/>
      <c r="HM42" s="125"/>
      <c r="HN42" s="125"/>
      <c r="HO42" s="125"/>
      <c r="HP42" s="125"/>
      <c r="HQ42" s="125"/>
      <c r="HR42" s="125"/>
      <c r="HS42" s="125"/>
      <c r="HT42" s="125"/>
      <c r="HU42" s="125"/>
      <c r="HV42" s="125"/>
      <c r="HW42" s="125"/>
      <c r="HX42" s="125"/>
      <c r="HY42" s="125"/>
      <c r="HZ42" s="125"/>
      <c r="IA42" s="125"/>
      <c r="IB42" s="125"/>
      <c r="IC42" s="125"/>
      <c r="ID42" s="125"/>
      <c r="IE42" s="125"/>
      <c r="IF42" s="125"/>
      <c r="IG42" s="125"/>
    </row>
    <row r="43" spans="1:241" ht="36.6" x14ac:dyDescent="1.05">
      <c r="A43" s="131" t="s">
        <v>501</v>
      </c>
      <c r="B43" s="128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7" t="s">
        <v>502</v>
      </c>
      <c r="T43" s="131"/>
      <c r="U43" s="131"/>
      <c r="V43" s="128"/>
      <c r="W43" s="131"/>
      <c r="X43" s="131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  <c r="CK43" s="125"/>
      <c r="CL43" s="125"/>
      <c r="CM43" s="125"/>
      <c r="CN43" s="125"/>
      <c r="CO43" s="125"/>
      <c r="CP43" s="125"/>
      <c r="CQ43" s="125"/>
      <c r="CR43" s="125"/>
      <c r="CS43" s="125"/>
      <c r="CT43" s="125"/>
      <c r="CU43" s="125"/>
      <c r="CV43" s="125"/>
      <c r="CW43" s="125"/>
      <c r="CX43" s="125"/>
      <c r="CY43" s="125"/>
      <c r="CZ43" s="125"/>
      <c r="DA43" s="125"/>
      <c r="DB43" s="125"/>
      <c r="DC43" s="125"/>
      <c r="DD43" s="125"/>
      <c r="DE43" s="125"/>
      <c r="DF43" s="125"/>
      <c r="DG43" s="125"/>
      <c r="DH43" s="125"/>
      <c r="DI43" s="125"/>
      <c r="DJ43" s="125"/>
      <c r="DK43" s="125"/>
      <c r="DL43" s="125"/>
      <c r="DM43" s="125"/>
      <c r="DN43" s="125"/>
      <c r="DO43" s="125"/>
      <c r="DP43" s="125"/>
      <c r="DQ43" s="125"/>
      <c r="DR43" s="125"/>
      <c r="DS43" s="125"/>
      <c r="DT43" s="125"/>
      <c r="DU43" s="125"/>
      <c r="DV43" s="125"/>
      <c r="DW43" s="125"/>
      <c r="DX43" s="125"/>
      <c r="DY43" s="125"/>
      <c r="DZ43" s="125"/>
      <c r="EA43" s="125"/>
      <c r="EB43" s="125"/>
      <c r="EC43" s="125"/>
      <c r="ED43" s="125"/>
      <c r="EE43" s="125"/>
      <c r="EF43" s="125"/>
      <c r="EG43" s="125"/>
      <c r="EH43" s="125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5"/>
      <c r="FQ43" s="125"/>
      <c r="FR43" s="125"/>
      <c r="FS43" s="125"/>
      <c r="FT43" s="125"/>
      <c r="FU43" s="125"/>
      <c r="FV43" s="125"/>
      <c r="FW43" s="125"/>
      <c r="FX43" s="125"/>
      <c r="FY43" s="125"/>
      <c r="FZ43" s="125"/>
      <c r="GA43" s="125"/>
      <c r="GB43" s="125"/>
      <c r="GC43" s="125"/>
      <c r="GD43" s="125"/>
      <c r="GE43" s="125"/>
      <c r="GF43" s="125"/>
      <c r="GG43" s="125"/>
      <c r="GH43" s="125"/>
      <c r="GI43" s="125"/>
      <c r="GJ43" s="125"/>
      <c r="GK43" s="125"/>
      <c r="GL43" s="125"/>
      <c r="GM43" s="125"/>
      <c r="GN43" s="125"/>
      <c r="GO43" s="125"/>
      <c r="GP43" s="125"/>
      <c r="GQ43" s="125"/>
      <c r="GR43" s="125"/>
      <c r="GS43" s="125"/>
      <c r="GT43" s="125"/>
      <c r="GU43" s="125"/>
      <c r="GV43" s="125"/>
      <c r="GW43" s="125"/>
      <c r="GX43" s="125"/>
      <c r="GY43" s="125"/>
      <c r="GZ43" s="125"/>
      <c r="HA43" s="125"/>
      <c r="HB43" s="125"/>
      <c r="HC43" s="125"/>
      <c r="HD43" s="125"/>
      <c r="HE43" s="125"/>
      <c r="HF43" s="125"/>
      <c r="HG43" s="125"/>
      <c r="HH43" s="125"/>
      <c r="HI43" s="125"/>
      <c r="HJ43" s="125"/>
      <c r="HK43" s="125"/>
      <c r="HL43" s="125"/>
      <c r="HM43" s="125"/>
      <c r="HN43" s="125"/>
      <c r="HO43" s="125"/>
      <c r="HP43" s="125"/>
      <c r="HQ43" s="125"/>
      <c r="HR43" s="125"/>
      <c r="HS43" s="125"/>
      <c r="HT43" s="125"/>
      <c r="HU43" s="125"/>
      <c r="HV43" s="125"/>
      <c r="HW43" s="125"/>
      <c r="HX43" s="125"/>
      <c r="HY43" s="125"/>
      <c r="HZ43" s="125"/>
      <c r="IA43" s="125"/>
      <c r="IB43" s="125"/>
      <c r="IC43" s="125"/>
      <c r="ID43" s="125"/>
      <c r="IE43" s="125"/>
      <c r="IF43" s="125"/>
      <c r="IG43" s="125"/>
    </row>
    <row r="44" spans="1:241" ht="36.6" x14ac:dyDescent="1.05">
      <c r="A44" s="131" t="s">
        <v>503</v>
      </c>
      <c r="B44" s="131"/>
      <c r="C44" s="131"/>
      <c r="D44" s="131"/>
      <c r="E44" s="131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31" t="s">
        <v>504</v>
      </c>
      <c r="T44" s="131"/>
      <c r="U44" s="128"/>
      <c r="V44" s="134"/>
      <c r="W44" s="131"/>
      <c r="X44" s="131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  <c r="CK44" s="125"/>
      <c r="CL44" s="125"/>
      <c r="CM44" s="125"/>
      <c r="CN44" s="125"/>
      <c r="CO44" s="125"/>
      <c r="CP44" s="125"/>
      <c r="CQ44" s="125"/>
      <c r="CR44" s="125"/>
      <c r="CS44" s="125"/>
      <c r="CT44" s="125"/>
      <c r="CU44" s="125"/>
      <c r="CV44" s="125"/>
      <c r="CW44" s="125"/>
      <c r="CX44" s="125"/>
      <c r="CY44" s="125"/>
      <c r="CZ44" s="125"/>
      <c r="DA44" s="125"/>
      <c r="DB44" s="125"/>
      <c r="DC44" s="125"/>
      <c r="DD44" s="125"/>
      <c r="DE44" s="125"/>
      <c r="DF44" s="125"/>
      <c r="DG44" s="125"/>
      <c r="DH44" s="125"/>
      <c r="DI44" s="125"/>
      <c r="DJ44" s="125"/>
      <c r="DK44" s="125"/>
      <c r="DL44" s="125"/>
      <c r="DM44" s="125"/>
      <c r="DN44" s="125"/>
      <c r="DO44" s="125"/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5"/>
      <c r="FQ44" s="125"/>
      <c r="FR44" s="125"/>
      <c r="FS44" s="125"/>
      <c r="FT44" s="125"/>
      <c r="FU44" s="125"/>
      <c r="FV44" s="125"/>
      <c r="FW44" s="125"/>
      <c r="FX44" s="125"/>
      <c r="FY44" s="125"/>
      <c r="FZ44" s="125"/>
      <c r="GA44" s="125"/>
      <c r="GB44" s="125"/>
      <c r="GC44" s="125"/>
      <c r="GD44" s="125"/>
      <c r="GE44" s="125"/>
      <c r="GF44" s="125"/>
      <c r="GG44" s="125"/>
      <c r="GH44" s="125"/>
      <c r="GI44" s="125"/>
      <c r="GJ44" s="125"/>
      <c r="GK44" s="125"/>
      <c r="GL44" s="125"/>
      <c r="GM44" s="125"/>
      <c r="GN44" s="125"/>
      <c r="GO44" s="125"/>
      <c r="GP44" s="125"/>
      <c r="GQ44" s="125"/>
      <c r="GR44" s="125"/>
      <c r="GS44" s="125"/>
      <c r="GT44" s="125"/>
      <c r="GU44" s="125"/>
      <c r="GV44" s="125"/>
      <c r="GW44" s="125"/>
      <c r="GX44" s="125"/>
      <c r="GY44" s="125"/>
      <c r="GZ44" s="125"/>
      <c r="HA44" s="125"/>
      <c r="HB44" s="125"/>
      <c r="HC44" s="125"/>
      <c r="HD44" s="125"/>
      <c r="HE44" s="125"/>
      <c r="HF44" s="125"/>
      <c r="HG44" s="125"/>
      <c r="HH44" s="125"/>
      <c r="HI44" s="125"/>
      <c r="HJ44" s="125"/>
      <c r="HK44" s="125"/>
      <c r="HL44" s="125"/>
      <c r="HM44" s="125"/>
      <c r="HN44" s="125"/>
      <c r="HO44" s="125"/>
      <c r="HP44" s="125"/>
      <c r="HQ44" s="125"/>
      <c r="HR44" s="125"/>
      <c r="HS44" s="125"/>
      <c r="HT44" s="125"/>
      <c r="HU44" s="125"/>
      <c r="HV44" s="125"/>
      <c r="HW44" s="125"/>
      <c r="HX44" s="125"/>
      <c r="HY44" s="125"/>
      <c r="HZ44" s="125"/>
      <c r="IA44" s="125"/>
      <c r="IB44" s="125"/>
      <c r="IC44" s="125"/>
      <c r="ID44" s="125"/>
      <c r="IE44" s="125"/>
      <c r="IF44" s="125"/>
      <c r="IG44" s="125"/>
    </row>
    <row r="45" spans="1:241" ht="36.6" x14ac:dyDescent="1.05">
      <c r="A45" s="131" t="s">
        <v>505</v>
      </c>
      <c r="B45" s="131"/>
      <c r="C45" s="128"/>
      <c r="D45" s="128"/>
      <c r="E45" s="128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1"/>
      <c r="T45" s="131"/>
      <c r="U45" s="134"/>
      <c r="V45" s="131"/>
      <c r="W45" s="131"/>
      <c r="X45" s="131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30"/>
      <c r="AM45" s="130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  <c r="CK45" s="125"/>
      <c r="CL45" s="125"/>
      <c r="CM45" s="125"/>
      <c r="CN45" s="125"/>
      <c r="CO45" s="125"/>
      <c r="CP45" s="125"/>
      <c r="CQ45" s="125"/>
      <c r="CR45" s="125"/>
      <c r="CS45" s="125"/>
      <c r="CT45" s="125"/>
      <c r="CU45" s="125"/>
      <c r="CV45" s="125"/>
      <c r="CW45" s="125"/>
      <c r="CX45" s="125"/>
      <c r="CY45" s="125"/>
      <c r="CZ45" s="125"/>
      <c r="DA45" s="125"/>
      <c r="DB45" s="125"/>
      <c r="DC45" s="125"/>
      <c r="DD45" s="125"/>
      <c r="DE45" s="125"/>
      <c r="DF45" s="125"/>
      <c r="DG45" s="125"/>
      <c r="DH45" s="125"/>
      <c r="DI45" s="125"/>
      <c r="DJ45" s="125"/>
      <c r="DK45" s="125"/>
      <c r="DL45" s="125"/>
      <c r="DM45" s="125"/>
      <c r="DN45" s="125"/>
      <c r="DO45" s="125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5"/>
      <c r="FQ45" s="125"/>
      <c r="FR45" s="125"/>
      <c r="FS45" s="125"/>
      <c r="FT45" s="125"/>
      <c r="FU45" s="125"/>
      <c r="FV45" s="125"/>
      <c r="FW45" s="125"/>
      <c r="FX45" s="125"/>
      <c r="FY45" s="125"/>
      <c r="FZ45" s="125"/>
      <c r="GA45" s="125"/>
      <c r="GB45" s="125"/>
      <c r="GC45" s="125"/>
      <c r="GD45" s="125"/>
      <c r="GE45" s="125"/>
      <c r="GF45" s="125"/>
      <c r="GG45" s="125"/>
      <c r="GH45" s="125"/>
      <c r="GI45" s="125"/>
      <c r="GJ45" s="125"/>
      <c r="GK45" s="125"/>
      <c r="GL45" s="125"/>
      <c r="GM45" s="125"/>
      <c r="GN45" s="125"/>
      <c r="GO45" s="125"/>
      <c r="GP45" s="125"/>
      <c r="GQ45" s="125"/>
      <c r="GR45" s="125"/>
      <c r="GS45" s="125"/>
      <c r="GT45" s="125"/>
      <c r="GU45" s="125"/>
      <c r="GV45" s="125"/>
      <c r="GW45" s="125"/>
      <c r="GX45" s="125"/>
      <c r="GY45" s="125"/>
      <c r="GZ45" s="125"/>
      <c r="HA45" s="125"/>
      <c r="HB45" s="125"/>
      <c r="HC45" s="125"/>
      <c r="HD45" s="125"/>
      <c r="HE45" s="125"/>
      <c r="HF45" s="125"/>
      <c r="HG45" s="125"/>
      <c r="HH45" s="125"/>
      <c r="HI45" s="125"/>
      <c r="HJ45" s="125"/>
      <c r="HK45" s="125"/>
      <c r="HL45" s="125"/>
      <c r="HM45" s="125"/>
      <c r="HN45" s="125"/>
      <c r="HO45" s="125"/>
      <c r="HP45" s="125"/>
      <c r="HQ45" s="125"/>
      <c r="HR45" s="125"/>
      <c r="HS45" s="125"/>
      <c r="HT45" s="125"/>
      <c r="HU45" s="125"/>
      <c r="HV45" s="125"/>
      <c r="HW45" s="125"/>
      <c r="HX45" s="125"/>
      <c r="HY45" s="125"/>
      <c r="HZ45" s="125"/>
      <c r="IA45" s="125"/>
      <c r="IB45" s="125"/>
      <c r="IC45" s="125"/>
      <c r="ID45" s="125"/>
      <c r="IE45" s="125"/>
      <c r="IF45" s="125"/>
      <c r="IG45" s="125"/>
    </row>
    <row r="46" spans="1:241" ht="36.6" x14ac:dyDescent="1.05">
      <c r="A46" s="131" t="s">
        <v>506</v>
      </c>
      <c r="B46" s="131"/>
      <c r="C46" s="134"/>
      <c r="D46" s="134"/>
      <c r="E46" s="134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  <c r="CW46" s="125"/>
      <c r="CX46" s="125"/>
      <c r="CY46" s="125"/>
      <c r="CZ46" s="125"/>
      <c r="DA46" s="125"/>
      <c r="DB46" s="125"/>
      <c r="DC46" s="125"/>
      <c r="DD46" s="125"/>
      <c r="DE46" s="125"/>
      <c r="DF46" s="125"/>
      <c r="DG46" s="125"/>
      <c r="DH46" s="125"/>
      <c r="DI46" s="125"/>
      <c r="DJ46" s="125"/>
      <c r="DK46" s="125"/>
      <c r="DL46" s="125"/>
      <c r="DM46" s="125"/>
      <c r="DN46" s="125"/>
      <c r="DO46" s="125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25"/>
      <c r="FV46" s="125"/>
      <c r="FW46" s="125"/>
      <c r="FX46" s="125"/>
      <c r="FY46" s="125"/>
      <c r="FZ46" s="125"/>
      <c r="GA46" s="125"/>
      <c r="GB46" s="125"/>
      <c r="GC46" s="125"/>
      <c r="GD46" s="125"/>
      <c r="GE46" s="125"/>
      <c r="GF46" s="125"/>
      <c r="GG46" s="125"/>
      <c r="GH46" s="125"/>
      <c r="GI46" s="125"/>
      <c r="GJ46" s="125"/>
      <c r="GK46" s="125"/>
      <c r="GL46" s="125"/>
      <c r="GM46" s="125"/>
      <c r="GN46" s="125"/>
      <c r="GO46" s="125"/>
      <c r="GP46" s="125"/>
      <c r="GQ46" s="125"/>
      <c r="GR46" s="125"/>
      <c r="GS46" s="125"/>
      <c r="GT46" s="125"/>
      <c r="GU46" s="125"/>
      <c r="GV46" s="125"/>
      <c r="GW46" s="125"/>
      <c r="GX46" s="125"/>
      <c r="GY46" s="125"/>
      <c r="GZ46" s="125"/>
      <c r="HA46" s="125"/>
      <c r="HB46" s="125"/>
      <c r="HC46" s="125"/>
      <c r="HD46" s="125"/>
      <c r="HE46" s="125"/>
      <c r="HF46" s="125"/>
      <c r="HG46" s="125"/>
      <c r="HH46" s="125"/>
      <c r="HI46" s="125"/>
      <c r="HJ46" s="125"/>
      <c r="HK46" s="125"/>
      <c r="HL46" s="125"/>
      <c r="HM46" s="125"/>
      <c r="HN46" s="125"/>
      <c r="HO46" s="125"/>
      <c r="HP46" s="125"/>
      <c r="HQ46" s="125"/>
      <c r="HR46" s="125"/>
      <c r="HS46" s="125"/>
      <c r="HT46" s="125"/>
      <c r="HU46" s="125"/>
      <c r="HV46" s="125"/>
      <c r="HW46" s="125"/>
      <c r="HX46" s="125"/>
      <c r="HY46" s="125"/>
      <c r="HZ46" s="125"/>
      <c r="IA46" s="125"/>
      <c r="IB46" s="125"/>
      <c r="IC46" s="125"/>
      <c r="ID46" s="125"/>
      <c r="IE46" s="125"/>
      <c r="IF46" s="125"/>
      <c r="IG46" s="125"/>
    </row>
    <row r="47" spans="1:241" ht="36.6" x14ac:dyDescent="1.05">
      <c r="A47" s="131" t="s">
        <v>507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5"/>
      <c r="AM47" s="125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0"/>
      <c r="CD47" s="130"/>
      <c r="CE47" s="130"/>
      <c r="CF47" s="130"/>
      <c r="CG47" s="130"/>
      <c r="CH47" s="130"/>
      <c r="CI47" s="130"/>
      <c r="CJ47" s="130"/>
      <c r="CK47" s="130"/>
      <c r="CL47" s="130"/>
      <c r="CM47" s="130"/>
      <c r="CN47" s="130"/>
      <c r="CO47" s="130"/>
      <c r="CP47" s="130"/>
      <c r="CQ47" s="130"/>
      <c r="CR47" s="130"/>
      <c r="CS47" s="130"/>
      <c r="CT47" s="130"/>
      <c r="CU47" s="130"/>
      <c r="CV47" s="130"/>
      <c r="CW47" s="130"/>
      <c r="CX47" s="130"/>
      <c r="CY47" s="130"/>
      <c r="CZ47" s="130"/>
      <c r="DA47" s="130"/>
      <c r="DB47" s="130"/>
      <c r="DC47" s="130"/>
      <c r="DD47" s="130"/>
      <c r="DE47" s="130"/>
      <c r="DF47" s="130"/>
      <c r="DG47" s="130"/>
      <c r="DH47" s="130"/>
      <c r="DI47" s="130"/>
      <c r="DJ47" s="130"/>
      <c r="DK47" s="130"/>
      <c r="DL47" s="130"/>
      <c r="DM47" s="130"/>
      <c r="DN47" s="130"/>
      <c r="DO47" s="130"/>
      <c r="DP47" s="130"/>
      <c r="DQ47" s="130"/>
      <c r="DR47" s="130"/>
      <c r="DS47" s="130"/>
      <c r="DT47" s="130"/>
      <c r="DU47" s="130"/>
      <c r="DV47" s="130"/>
      <c r="DW47" s="130"/>
      <c r="DX47" s="130"/>
      <c r="DY47" s="130"/>
      <c r="DZ47" s="130"/>
      <c r="EA47" s="130"/>
      <c r="EB47" s="130"/>
      <c r="EC47" s="130"/>
      <c r="ED47" s="130"/>
      <c r="EE47" s="130"/>
      <c r="EF47" s="130"/>
      <c r="EG47" s="130"/>
      <c r="EH47" s="130"/>
      <c r="EI47" s="130"/>
      <c r="EJ47" s="130"/>
      <c r="EK47" s="130"/>
      <c r="EL47" s="130"/>
      <c r="EM47" s="130"/>
      <c r="EN47" s="130"/>
      <c r="EO47" s="130"/>
      <c r="EP47" s="130"/>
      <c r="EQ47" s="130"/>
      <c r="ER47" s="130"/>
      <c r="ES47" s="130"/>
      <c r="ET47" s="130"/>
      <c r="EU47" s="130"/>
      <c r="EV47" s="130"/>
      <c r="EW47" s="130"/>
      <c r="EX47" s="130"/>
      <c r="EY47" s="130"/>
      <c r="EZ47" s="130"/>
      <c r="FA47" s="130"/>
      <c r="FB47" s="130"/>
      <c r="FC47" s="130"/>
      <c r="FD47" s="130"/>
      <c r="FE47" s="130"/>
      <c r="FF47" s="130"/>
      <c r="FG47" s="130"/>
      <c r="FH47" s="130"/>
      <c r="FI47" s="130"/>
      <c r="FJ47" s="130"/>
      <c r="FK47" s="130"/>
      <c r="FL47" s="130"/>
      <c r="FM47" s="130"/>
      <c r="FN47" s="130"/>
      <c r="FO47" s="130"/>
      <c r="FP47" s="130"/>
      <c r="FQ47" s="130"/>
      <c r="FR47" s="130"/>
      <c r="FS47" s="130"/>
      <c r="FT47" s="130"/>
      <c r="FU47" s="130"/>
      <c r="FV47" s="130"/>
      <c r="FW47" s="130"/>
      <c r="FX47" s="130"/>
      <c r="FY47" s="130"/>
      <c r="FZ47" s="130"/>
      <c r="GA47" s="130"/>
      <c r="GB47" s="130"/>
      <c r="GC47" s="130"/>
      <c r="GD47" s="130"/>
      <c r="GE47" s="130"/>
      <c r="GF47" s="130"/>
      <c r="GG47" s="130"/>
      <c r="GH47" s="130"/>
      <c r="GI47" s="130"/>
      <c r="GJ47" s="130"/>
      <c r="GK47" s="130"/>
      <c r="GL47" s="130"/>
      <c r="GM47" s="130"/>
      <c r="GN47" s="130"/>
      <c r="GO47" s="130"/>
      <c r="GP47" s="130"/>
      <c r="GQ47" s="130"/>
      <c r="GR47" s="130"/>
      <c r="GS47" s="130"/>
      <c r="GT47" s="130"/>
      <c r="GU47" s="130"/>
      <c r="GV47" s="130"/>
      <c r="GW47" s="130"/>
      <c r="GX47" s="130"/>
      <c r="GY47" s="130"/>
      <c r="GZ47" s="130"/>
      <c r="HA47" s="130"/>
      <c r="HB47" s="130"/>
      <c r="HC47" s="130"/>
      <c r="HD47" s="130"/>
      <c r="HE47" s="130"/>
      <c r="HF47" s="130"/>
      <c r="HG47" s="130"/>
      <c r="HH47" s="130"/>
      <c r="HI47" s="130"/>
      <c r="HJ47" s="130"/>
      <c r="HK47" s="130"/>
      <c r="HL47" s="130"/>
      <c r="HM47" s="130"/>
      <c r="HN47" s="130"/>
      <c r="HO47" s="130"/>
      <c r="HP47" s="130"/>
      <c r="HQ47" s="130"/>
      <c r="HR47" s="130"/>
      <c r="HS47" s="130"/>
      <c r="HT47" s="130"/>
      <c r="HU47" s="130"/>
      <c r="HV47" s="130"/>
      <c r="HW47" s="130"/>
      <c r="HX47" s="130"/>
      <c r="HY47" s="130"/>
      <c r="HZ47" s="130"/>
      <c r="IA47" s="130"/>
      <c r="IB47" s="130"/>
      <c r="IC47" s="130"/>
      <c r="ID47" s="130"/>
      <c r="IE47" s="130"/>
      <c r="IF47" s="130"/>
      <c r="IG47" s="130"/>
    </row>
    <row r="48" spans="1:241" ht="36.6" x14ac:dyDescent="1.05">
      <c r="A48" s="131" t="s">
        <v>508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5"/>
      <c r="AM48" s="125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8"/>
      <c r="CM48" s="138"/>
      <c r="CN48" s="138"/>
      <c r="CO48" s="138"/>
      <c r="CP48" s="138"/>
      <c r="CQ48" s="138"/>
      <c r="CR48" s="138"/>
      <c r="CS48" s="138"/>
      <c r="CT48" s="138"/>
      <c r="CU48" s="138"/>
      <c r="CV48" s="138"/>
      <c r="CW48" s="138"/>
      <c r="CX48" s="138"/>
      <c r="CY48" s="138"/>
      <c r="CZ48" s="138"/>
      <c r="DA48" s="138"/>
      <c r="DB48" s="138"/>
      <c r="DC48" s="138"/>
      <c r="DD48" s="138"/>
      <c r="DE48" s="138"/>
      <c r="DF48" s="138"/>
      <c r="DG48" s="138"/>
      <c r="DH48" s="138"/>
      <c r="DI48" s="138"/>
      <c r="DJ48" s="138"/>
      <c r="DK48" s="138"/>
      <c r="DL48" s="138"/>
      <c r="DM48" s="138"/>
      <c r="DN48" s="138"/>
      <c r="DO48" s="138"/>
      <c r="DP48" s="138"/>
      <c r="DQ48" s="138"/>
      <c r="DR48" s="138"/>
      <c r="DS48" s="138"/>
      <c r="DT48" s="138"/>
      <c r="DU48" s="138"/>
      <c r="DV48" s="138"/>
      <c r="DW48" s="138"/>
      <c r="DX48" s="138"/>
      <c r="DY48" s="138"/>
      <c r="DZ48" s="138"/>
      <c r="EA48" s="138"/>
      <c r="EB48" s="138"/>
      <c r="EC48" s="138"/>
      <c r="ED48" s="138"/>
      <c r="EE48" s="138"/>
      <c r="EF48" s="138"/>
      <c r="EG48" s="138"/>
      <c r="EH48" s="138"/>
      <c r="EI48" s="138"/>
      <c r="EJ48" s="138"/>
      <c r="EK48" s="138"/>
      <c r="EL48" s="138"/>
      <c r="EM48" s="138"/>
      <c r="EN48" s="138"/>
      <c r="EO48" s="138"/>
      <c r="EP48" s="138"/>
      <c r="EQ48" s="138"/>
      <c r="ER48" s="138"/>
      <c r="ES48" s="138"/>
      <c r="ET48" s="138"/>
      <c r="EU48" s="138"/>
      <c r="EV48" s="138"/>
      <c r="EW48" s="138"/>
      <c r="EX48" s="138"/>
      <c r="EY48" s="138"/>
      <c r="EZ48" s="138"/>
      <c r="FA48" s="138"/>
      <c r="FB48" s="138"/>
      <c r="FC48" s="138"/>
      <c r="FD48" s="138"/>
      <c r="FE48" s="138"/>
      <c r="FF48" s="138"/>
      <c r="FG48" s="138"/>
      <c r="FH48" s="138"/>
      <c r="FI48" s="138"/>
      <c r="FJ48" s="138"/>
      <c r="FK48" s="138"/>
      <c r="FL48" s="138"/>
      <c r="FM48" s="138"/>
      <c r="FN48" s="138"/>
      <c r="FO48" s="138"/>
      <c r="FP48" s="138"/>
      <c r="FQ48" s="138"/>
      <c r="FR48" s="138"/>
      <c r="FS48" s="138"/>
      <c r="FT48" s="138"/>
      <c r="FU48" s="138"/>
      <c r="FV48" s="138"/>
      <c r="FW48" s="138"/>
      <c r="FX48" s="138"/>
      <c r="FY48" s="138"/>
      <c r="FZ48" s="138"/>
      <c r="GA48" s="138"/>
      <c r="GB48" s="138"/>
      <c r="GC48" s="138"/>
      <c r="GD48" s="138"/>
      <c r="GE48" s="138"/>
      <c r="GF48" s="138"/>
      <c r="GG48" s="138"/>
      <c r="GH48" s="138"/>
      <c r="GI48" s="138"/>
      <c r="GJ48" s="138"/>
      <c r="GK48" s="138"/>
      <c r="GL48" s="138"/>
      <c r="GM48" s="138"/>
      <c r="GN48" s="138"/>
    </row>
    <row r="49" spans="1:196" ht="36.6" x14ac:dyDescent="1.05">
      <c r="A49" s="131" t="s">
        <v>509</v>
      </c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29"/>
      <c r="T49" s="131"/>
      <c r="U49" s="131"/>
      <c r="V49" s="131"/>
      <c r="W49" s="131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  <c r="CK49" s="125"/>
      <c r="CL49" s="125"/>
      <c r="CM49" s="125"/>
      <c r="CN49" s="125"/>
      <c r="CO49" s="125"/>
      <c r="CP49" s="125"/>
      <c r="CQ49" s="125"/>
      <c r="CR49" s="125"/>
      <c r="CS49" s="125"/>
      <c r="CT49" s="125"/>
      <c r="CU49" s="125"/>
      <c r="CV49" s="125"/>
      <c r="CW49" s="125"/>
      <c r="CX49" s="125"/>
      <c r="CY49" s="125"/>
      <c r="CZ49" s="125"/>
      <c r="DA49" s="125"/>
      <c r="DB49" s="125"/>
      <c r="DC49" s="125"/>
      <c r="DD49" s="125"/>
      <c r="DE49" s="125"/>
      <c r="DF49" s="125"/>
      <c r="DG49" s="125"/>
      <c r="DH49" s="125"/>
      <c r="DI49" s="125"/>
      <c r="DJ49" s="125"/>
      <c r="DK49" s="125"/>
      <c r="DL49" s="125"/>
      <c r="DM49" s="125"/>
      <c r="DN49" s="125"/>
      <c r="DO49" s="125"/>
      <c r="DP49" s="125"/>
      <c r="DQ49" s="125"/>
      <c r="DR49" s="125"/>
      <c r="DS49" s="125"/>
      <c r="DT49" s="125"/>
      <c r="DU49" s="125"/>
      <c r="DV49" s="125"/>
      <c r="DW49" s="125"/>
      <c r="DX49" s="125"/>
      <c r="DY49" s="125"/>
      <c r="DZ49" s="125"/>
      <c r="EA49" s="125"/>
      <c r="EB49" s="125"/>
      <c r="EC49" s="125"/>
      <c r="ED49" s="125"/>
      <c r="EE49" s="125"/>
      <c r="EF49" s="125"/>
      <c r="EG49" s="125"/>
      <c r="EH49" s="125"/>
      <c r="EI49" s="125"/>
      <c r="EJ49" s="125"/>
      <c r="EK49" s="125"/>
      <c r="EL49" s="125"/>
      <c r="EM49" s="125"/>
      <c r="EN49" s="125"/>
      <c r="EO49" s="125"/>
      <c r="EP49" s="125"/>
      <c r="EQ49" s="125"/>
      <c r="ER49" s="125"/>
      <c r="ES49" s="125"/>
      <c r="ET49" s="125"/>
      <c r="EU49" s="125"/>
      <c r="EV49" s="125"/>
      <c r="EW49" s="125"/>
      <c r="EX49" s="125"/>
      <c r="EY49" s="125"/>
      <c r="EZ49" s="125"/>
      <c r="FA49" s="125"/>
      <c r="FB49" s="125"/>
      <c r="FC49" s="125"/>
      <c r="FD49" s="125"/>
      <c r="FE49" s="125"/>
      <c r="FF49" s="125"/>
      <c r="FG49" s="125"/>
      <c r="FH49" s="125"/>
      <c r="FI49" s="125"/>
      <c r="FJ49" s="125"/>
      <c r="FK49" s="125"/>
      <c r="FL49" s="125"/>
      <c r="FM49" s="125"/>
      <c r="FN49" s="125"/>
      <c r="FO49" s="125"/>
      <c r="FP49" s="125"/>
      <c r="FQ49" s="125"/>
      <c r="FR49" s="125"/>
      <c r="FS49" s="125"/>
      <c r="FT49" s="125"/>
      <c r="FU49" s="125"/>
      <c r="FV49" s="125"/>
      <c r="FW49" s="125"/>
      <c r="FX49" s="125"/>
      <c r="FY49" s="125"/>
      <c r="FZ49" s="125"/>
      <c r="GA49" s="125"/>
      <c r="GB49" s="125"/>
      <c r="GC49" s="125"/>
      <c r="GD49" s="125"/>
      <c r="GE49" s="125"/>
      <c r="GF49" s="125"/>
      <c r="GG49" s="125"/>
      <c r="GH49" s="125"/>
      <c r="GI49" s="125"/>
      <c r="GJ49" s="125"/>
      <c r="GK49" s="125"/>
      <c r="GL49" s="125"/>
      <c r="GM49" s="125"/>
      <c r="GN49" s="125"/>
    </row>
    <row r="50" spans="1:196" ht="36.6" x14ac:dyDescent="1.05">
      <c r="A50" s="129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  <c r="CK50" s="125"/>
      <c r="CL50" s="125"/>
      <c r="CM50" s="125"/>
      <c r="CN50" s="125"/>
      <c r="CO50" s="125"/>
      <c r="CP50" s="125"/>
      <c r="CQ50" s="125"/>
      <c r="CR50" s="125"/>
      <c r="CS50" s="125"/>
      <c r="CT50" s="125"/>
      <c r="CU50" s="125"/>
      <c r="CV50" s="125"/>
      <c r="CW50" s="125"/>
      <c r="CX50" s="125"/>
      <c r="CY50" s="125"/>
      <c r="CZ50" s="125"/>
      <c r="DA50" s="125"/>
      <c r="DB50" s="125"/>
      <c r="DC50" s="125"/>
      <c r="DD50" s="125"/>
      <c r="DE50" s="125"/>
      <c r="DF50" s="125"/>
      <c r="DG50" s="125"/>
      <c r="DH50" s="125"/>
      <c r="DI50" s="125"/>
      <c r="DJ50" s="125"/>
      <c r="DK50" s="125"/>
      <c r="DL50" s="125"/>
      <c r="DM50" s="125"/>
      <c r="DN50" s="125"/>
      <c r="DO50" s="125"/>
      <c r="DP50" s="125"/>
      <c r="DQ50" s="125"/>
      <c r="DR50" s="125"/>
      <c r="DS50" s="125"/>
      <c r="DT50" s="125"/>
      <c r="DU50" s="125"/>
      <c r="DV50" s="125"/>
      <c r="DW50" s="125"/>
      <c r="DX50" s="125"/>
      <c r="DY50" s="125"/>
      <c r="DZ50" s="125"/>
      <c r="EA50" s="125"/>
      <c r="EB50" s="125"/>
      <c r="EC50" s="125"/>
      <c r="ED50" s="125"/>
      <c r="EE50" s="125"/>
      <c r="EF50" s="125"/>
      <c r="EG50" s="125"/>
      <c r="EH50" s="125"/>
      <c r="EI50" s="125"/>
      <c r="EJ50" s="125"/>
      <c r="EK50" s="125"/>
      <c r="EL50" s="125"/>
      <c r="EM50" s="125"/>
      <c r="EN50" s="125"/>
      <c r="EO50" s="125"/>
      <c r="EP50" s="125"/>
      <c r="EQ50" s="125"/>
      <c r="ER50" s="125"/>
      <c r="ES50" s="125"/>
      <c r="ET50" s="125"/>
      <c r="EU50" s="125"/>
      <c r="EV50" s="125"/>
      <c r="EW50" s="125"/>
      <c r="EX50" s="125"/>
      <c r="EY50" s="125"/>
      <c r="EZ50" s="125"/>
      <c r="FA50" s="125"/>
      <c r="FB50" s="125"/>
      <c r="FC50" s="125"/>
      <c r="FD50" s="125"/>
      <c r="FE50" s="125"/>
      <c r="FF50" s="125"/>
      <c r="FG50" s="125"/>
      <c r="FH50" s="125"/>
      <c r="FI50" s="125"/>
      <c r="FJ50" s="125"/>
      <c r="FK50" s="125"/>
      <c r="FL50" s="125"/>
      <c r="FM50" s="125"/>
      <c r="FN50" s="125"/>
      <c r="FO50" s="125"/>
      <c r="FP50" s="125"/>
      <c r="FQ50" s="125"/>
      <c r="FR50" s="125"/>
      <c r="FS50" s="125"/>
      <c r="FT50" s="125"/>
      <c r="FU50" s="125"/>
      <c r="FV50" s="125"/>
      <c r="FW50" s="125"/>
      <c r="FX50" s="125"/>
      <c r="FY50" s="125"/>
      <c r="FZ50" s="125"/>
      <c r="GA50" s="125"/>
      <c r="GB50" s="125"/>
      <c r="GC50" s="125"/>
      <c r="GD50" s="125"/>
      <c r="GE50" s="125"/>
      <c r="GF50" s="125"/>
      <c r="GG50" s="125"/>
      <c r="GH50" s="125"/>
      <c r="GI50" s="125"/>
      <c r="GJ50" s="125"/>
      <c r="GK50" s="125"/>
      <c r="GL50" s="125"/>
      <c r="GM50" s="125"/>
      <c r="GN50" s="125"/>
    </row>
    <row r="51" spans="1:196" ht="27.6" x14ac:dyDescent="0.8">
      <c r="A51" s="139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T51" s="125"/>
      <c r="U51" s="125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</row>
    <row r="52" spans="1:196" ht="27.6" x14ac:dyDescent="0.8">
      <c r="A52" s="139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U52" s="125"/>
      <c r="V52" s="125"/>
    </row>
    <row r="53" spans="1:196" ht="27.6" x14ac:dyDescent="0.8">
      <c r="A53" s="139"/>
      <c r="U53" s="125"/>
      <c r="V53" s="125"/>
    </row>
    <row r="54" spans="1:196" ht="27.6" x14ac:dyDescent="0.8">
      <c r="U54" s="125"/>
    </row>
  </sheetData>
  <mergeCells count="2">
    <mergeCell ref="A2:AK2"/>
    <mergeCell ref="A4:AL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94"/>
  <sheetViews>
    <sheetView showGridLines="0" zoomScale="70" zoomScaleNormal="70" workbookViewId="0">
      <selection activeCell="D8" sqref="D8"/>
    </sheetView>
  </sheetViews>
  <sheetFormatPr defaultColWidth="9" defaultRowHeight="23.4" x14ac:dyDescent="0.6"/>
  <cols>
    <col min="1" max="1" width="14" style="140" customWidth="1"/>
    <col min="2" max="2" width="25.69921875" style="140" customWidth="1"/>
    <col min="3" max="3" width="35.69921875" style="141" customWidth="1"/>
    <col min="4" max="4" width="33.3984375" style="141" customWidth="1"/>
    <col min="5" max="5" width="15.3984375" style="141" customWidth="1"/>
    <col min="6" max="6" width="13" style="141" bestFit="1" customWidth="1"/>
    <col min="7" max="7" width="20.59765625" style="141" customWidth="1"/>
    <col min="8" max="16384" width="9" style="141"/>
  </cols>
  <sheetData>
    <row r="2" spans="1:7" ht="32.4" x14ac:dyDescent="0.85">
      <c r="C2" s="286" t="s">
        <v>510</v>
      </c>
      <c r="D2" s="286"/>
      <c r="E2" s="286"/>
      <c r="F2" s="286"/>
      <c r="G2" s="286"/>
    </row>
    <row r="3" spans="1:7" ht="28.8" x14ac:dyDescent="0.75">
      <c r="C3" s="142" t="s">
        <v>511</v>
      </c>
    </row>
    <row r="4" spans="1:7" ht="24" thickBot="1" x14ac:dyDescent="0.65">
      <c r="A4" s="140" t="s">
        <v>24</v>
      </c>
      <c r="C4" s="143" t="s">
        <v>512</v>
      </c>
    </row>
    <row r="5" spans="1:7" ht="24" thickBot="1" x14ac:dyDescent="0.65">
      <c r="A5" s="141"/>
      <c r="B5" s="141"/>
      <c r="F5" s="287" t="s">
        <v>25</v>
      </c>
      <c r="G5" s="288"/>
    </row>
    <row r="6" spans="1:7" s="144" customFormat="1" ht="24" thickBot="1" x14ac:dyDescent="0.65">
      <c r="A6" s="147" t="s">
        <v>38</v>
      </c>
      <c r="B6" s="180" t="s">
        <v>513</v>
      </c>
      <c r="C6" s="148" t="s">
        <v>28</v>
      </c>
      <c r="D6" s="148" t="s">
        <v>29</v>
      </c>
      <c r="E6" s="149" t="s">
        <v>514</v>
      </c>
      <c r="F6" s="150" t="s">
        <v>32</v>
      </c>
      <c r="G6" s="151" t="s">
        <v>515</v>
      </c>
    </row>
    <row r="7" spans="1:7" ht="36.75" customHeight="1" x14ac:dyDescent="0.6">
      <c r="A7" s="152">
        <v>43130</v>
      </c>
      <c r="B7" s="152"/>
      <c r="C7" s="146" t="s">
        <v>516</v>
      </c>
      <c r="D7" s="146" t="s">
        <v>517</v>
      </c>
      <c r="E7" s="153"/>
      <c r="F7" s="154"/>
      <c r="G7" s="155"/>
    </row>
    <row r="8" spans="1:7" ht="36.75" customHeight="1" x14ac:dyDescent="0.6">
      <c r="A8" s="152">
        <v>43130</v>
      </c>
      <c r="B8" s="152"/>
      <c r="C8" s="146" t="s">
        <v>518</v>
      </c>
      <c r="D8" s="146" t="s">
        <v>519</v>
      </c>
      <c r="E8" s="153"/>
      <c r="F8" s="154"/>
      <c r="G8" s="155"/>
    </row>
    <row r="9" spans="1:7" ht="36.75" customHeight="1" x14ac:dyDescent="0.6">
      <c r="A9" s="152">
        <v>43130</v>
      </c>
      <c r="B9" s="152"/>
      <c r="C9" s="146" t="s">
        <v>520</v>
      </c>
      <c r="D9" s="146" t="s">
        <v>521</v>
      </c>
      <c r="E9" s="153"/>
      <c r="F9" s="154"/>
      <c r="G9" s="155"/>
    </row>
    <row r="10" spans="1:7" ht="36.75" customHeight="1" x14ac:dyDescent="0.6">
      <c r="A10" s="152">
        <v>43130</v>
      </c>
      <c r="B10" s="152"/>
      <c r="C10" s="146" t="s">
        <v>522</v>
      </c>
      <c r="D10" s="146" t="s">
        <v>523</v>
      </c>
      <c r="E10" s="153"/>
      <c r="F10" s="154"/>
      <c r="G10" s="155"/>
    </row>
    <row r="11" spans="1:7" ht="36.75" customHeight="1" x14ac:dyDescent="0.6">
      <c r="A11" s="152">
        <v>43130</v>
      </c>
      <c r="B11" s="152"/>
      <c r="C11" s="146" t="s">
        <v>524</v>
      </c>
      <c r="D11" s="146" t="s">
        <v>525</v>
      </c>
      <c r="E11" s="153"/>
      <c r="F11" s="154"/>
      <c r="G11" s="155"/>
    </row>
    <row r="12" spans="1:7" ht="36.75" customHeight="1" x14ac:dyDescent="0.6">
      <c r="A12" s="145">
        <v>43133</v>
      </c>
      <c r="B12" s="145"/>
      <c r="C12" s="146" t="s">
        <v>526</v>
      </c>
      <c r="D12" s="146" t="s">
        <v>527</v>
      </c>
      <c r="E12" s="153"/>
      <c r="F12" s="154"/>
      <c r="G12" s="155"/>
    </row>
    <row r="13" spans="1:7" ht="36.75" customHeight="1" x14ac:dyDescent="0.6">
      <c r="A13" s="145">
        <v>43133</v>
      </c>
      <c r="B13" s="145"/>
      <c r="C13" s="146" t="s">
        <v>528</v>
      </c>
      <c r="D13" s="146" t="s">
        <v>529</v>
      </c>
      <c r="E13" s="153"/>
      <c r="F13" s="154"/>
      <c r="G13" s="155"/>
    </row>
    <row r="14" spans="1:7" ht="36.75" customHeight="1" x14ac:dyDescent="0.6">
      <c r="A14" s="145">
        <v>43133</v>
      </c>
      <c r="B14" s="145"/>
      <c r="C14" s="146" t="s">
        <v>530</v>
      </c>
      <c r="D14" s="146" t="s">
        <v>531</v>
      </c>
      <c r="E14" s="153"/>
      <c r="F14" s="154"/>
      <c r="G14" s="155"/>
    </row>
    <row r="15" spans="1:7" ht="36.75" customHeight="1" x14ac:dyDescent="0.6">
      <c r="A15" s="145">
        <v>43133</v>
      </c>
      <c r="B15" s="145"/>
      <c r="C15" s="146" t="s">
        <v>532</v>
      </c>
      <c r="D15" s="146" t="s">
        <v>533</v>
      </c>
      <c r="E15" s="153"/>
      <c r="F15" s="154"/>
      <c r="G15" s="155"/>
    </row>
    <row r="16" spans="1:7" ht="36.75" customHeight="1" x14ac:dyDescent="0.6">
      <c r="A16" s="145">
        <v>43133</v>
      </c>
      <c r="B16" s="145"/>
      <c r="C16" s="146" t="s">
        <v>534</v>
      </c>
      <c r="D16" s="146" t="s">
        <v>535</v>
      </c>
      <c r="E16" s="153"/>
      <c r="F16" s="154"/>
      <c r="G16" s="155"/>
    </row>
    <row r="17" spans="1:7" ht="36.75" customHeight="1" x14ac:dyDescent="0.6">
      <c r="A17" s="145">
        <v>43133</v>
      </c>
      <c r="B17" s="145"/>
      <c r="C17" s="146" t="s">
        <v>536</v>
      </c>
      <c r="D17" s="146" t="s">
        <v>537</v>
      </c>
      <c r="E17" s="153"/>
      <c r="F17" s="154"/>
      <c r="G17" s="155"/>
    </row>
    <row r="18" spans="1:7" ht="36.75" customHeight="1" x14ac:dyDescent="0.6">
      <c r="A18" s="145">
        <v>43133</v>
      </c>
      <c r="B18" s="145"/>
      <c r="C18" s="146" t="s">
        <v>538</v>
      </c>
      <c r="D18" s="146" t="s">
        <v>539</v>
      </c>
      <c r="E18" s="153"/>
      <c r="F18" s="154"/>
      <c r="G18" s="155"/>
    </row>
    <row r="19" spans="1:7" ht="36.75" customHeight="1" x14ac:dyDescent="0.6">
      <c r="A19" s="145">
        <v>43133</v>
      </c>
      <c r="B19" s="145"/>
      <c r="C19" s="146" t="s">
        <v>540</v>
      </c>
      <c r="D19" s="146" t="s">
        <v>541</v>
      </c>
      <c r="E19" s="153"/>
      <c r="F19" s="154"/>
      <c r="G19" s="155"/>
    </row>
    <row r="20" spans="1:7" ht="36.75" customHeight="1" x14ac:dyDescent="0.6">
      <c r="A20" s="145">
        <v>43135</v>
      </c>
      <c r="B20" s="145"/>
      <c r="C20" s="146" t="s">
        <v>542</v>
      </c>
      <c r="D20" s="146" t="s">
        <v>543</v>
      </c>
      <c r="E20" s="153"/>
      <c r="F20" s="154"/>
      <c r="G20" s="155"/>
    </row>
    <row r="21" spans="1:7" ht="36.75" customHeight="1" x14ac:dyDescent="0.6">
      <c r="A21" s="145">
        <v>43135</v>
      </c>
      <c r="B21" s="145"/>
      <c r="C21" s="146" t="s">
        <v>544</v>
      </c>
      <c r="D21" s="146" t="s">
        <v>545</v>
      </c>
      <c r="E21" s="153"/>
      <c r="F21" s="154"/>
      <c r="G21" s="155"/>
    </row>
    <row r="22" spans="1:7" ht="36.75" customHeight="1" x14ac:dyDescent="0.6">
      <c r="A22" s="145">
        <v>43135</v>
      </c>
      <c r="B22" s="145"/>
      <c r="C22" s="146" t="s">
        <v>546</v>
      </c>
      <c r="D22" s="146" t="s">
        <v>547</v>
      </c>
      <c r="E22" s="153"/>
      <c r="F22" s="154"/>
      <c r="G22" s="155"/>
    </row>
    <row r="23" spans="1:7" ht="36.75" customHeight="1" x14ac:dyDescent="0.6">
      <c r="A23" s="145">
        <v>43135</v>
      </c>
      <c r="B23" s="145"/>
      <c r="C23" s="146" t="s">
        <v>548</v>
      </c>
      <c r="D23" s="146" t="s">
        <v>549</v>
      </c>
      <c r="E23" s="153"/>
      <c r="F23" s="154"/>
      <c r="G23" s="155"/>
    </row>
    <row r="24" spans="1:7" ht="36.75" customHeight="1" x14ac:dyDescent="0.6">
      <c r="A24" s="145">
        <v>43135</v>
      </c>
      <c r="B24" s="145"/>
      <c r="C24" s="146" t="s">
        <v>550</v>
      </c>
      <c r="D24" s="146" t="s">
        <v>551</v>
      </c>
      <c r="E24" s="153"/>
      <c r="F24" s="154"/>
      <c r="G24" s="155"/>
    </row>
    <row r="25" spans="1:7" ht="36.75" customHeight="1" x14ac:dyDescent="0.6">
      <c r="A25" s="145">
        <v>43135</v>
      </c>
      <c r="B25" s="145"/>
      <c r="C25" s="146" t="s">
        <v>552</v>
      </c>
      <c r="D25" s="146" t="s">
        <v>553</v>
      </c>
      <c r="E25" s="153"/>
      <c r="F25" s="154"/>
      <c r="G25" s="155"/>
    </row>
    <row r="26" spans="1:7" ht="36.75" customHeight="1" x14ac:dyDescent="0.6">
      <c r="A26" s="145"/>
      <c r="B26" s="145"/>
      <c r="C26" s="146"/>
      <c r="D26" s="146"/>
      <c r="E26" s="153"/>
      <c r="F26" s="154"/>
      <c r="G26" s="155"/>
    </row>
    <row r="27" spans="1:7" ht="36.75" customHeight="1" x14ac:dyDescent="0.6">
      <c r="A27" s="145"/>
      <c r="B27" s="145"/>
      <c r="C27" s="146"/>
      <c r="D27" s="146"/>
      <c r="E27" s="153"/>
      <c r="F27" s="154"/>
      <c r="G27" s="155"/>
    </row>
    <row r="28" spans="1:7" ht="36.75" customHeight="1" x14ac:dyDescent="0.6">
      <c r="A28" s="145"/>
      <c r="B28" s="145"/>
      <c r="C28" s="146"/>
      <c r="D28" s="146"/>
      <c r="E28" s="153"/>
      <c r="F28" s="154"/>
      <c r="G28" s="155"/>
    </row>
    <row r="29" spans="1:7" ht="36.75" customHeight="1" x14ac:dyDescent="0.6">
      <c r="A29" s="145"/>
      <c r="B29" s="145"/>
      <c r="C29" s="146"/>
      <c r="D29" s="146"/>
      <c r="E29" s="153"/>
      <c r="F29" s="154"/>
      <c r="G29" s="155"/>
    </row>
    <row r="30" spans="1:7" ht="36.75" customHeight="1" x14ac:dyDescent="0.6">
      <c r="A30" s="145"/>
      <c r="B30" s="145"/>
      <c r="C30" s="146"/>
      <c r="D30" s="146"/>
      <c r="E30" s="153"/>
      <c r="F30" s="154"/>
      <c r="G30" s="155"/>
    </row>
    <row r="31" spans="1:7" ht="36.75" customHeight="1" x14ac:dyDescent="0.6">
      <c r="A31" s="145"/>
      <c r="B31" s="145"/>
      <c r="C31" s="146"/>
      <c r="D31" s="146"/>
      <c r="E31" s="153"/>
      <c r="F31" s="154"/>
      <c r="G31" s="155"/>
    </row>
    <row r="32" spans="1:7" ht="36.75" customHeight="1" x14ac:dyDescent="0.6">
      <c r="A32" s="145"/>
      <c r="B32" s="145"/>
      <c r="C32" s="146"/>
      <c r="D32" s="146"/>
      <c r="E32" s="153"/>
      <c r="F32" s="154"/>
      <c r="G32" s="155"/>
    </row>
    <row r="33" spans="1:7" ht="36.75" customHeight="1" x14ac:dyDescent="0.6">
      <c r="A33" s="145"/>
      <c r="B33" s="145"/>
      <c r="C33" s="146"/>
      <c r="D33" s="146"/>
      <c r="E33" s="153"/>
      <c r="F33" s="154"/>
      <c r="G33" s="155"/>
    </row>
    <row r="34" spans="1:7" ht="36.75" customHeight="1" x14ac:dyDescent="0.6">
      <c r="A34" s="145"/>
      <c r="B34" s="145"/>
      <c r="C34" s="146"/>
      <c r="D34" s="146"/>
      <c r="E34" s="153"/>
      <c r="F34" s="154"/>
      <c r="G34" s="155"/>
    </row>
    <row r="35" spans="1:7" ht="36.75" customHeight="1" x14ac:dyDescent="0.6">
      <c r="A35" s="145"/>
      <c r="B35" s="145"/>
      <c r="C35" s="146"/>
      <c r="D35" s="146"/>
      <c r="E35" s="153"/>
      <c r="F35" s="154"/>
      <c r="G35" s="155"/>
    </row>
    <row r="36" spans="1:7" ht="36.75" customHeight="1" x14ac:dyDescent="0.6">
      <c r="A36" s="145"/>
      <c r="B36" s="145"/>
      <c r="C36" s="146"/>
      <c r="D36" s="146"/>
      <c r="E36" s="153"/>
      <c r="F36" s="154"/>
      <c r="G36" s="155"/>
    </row>
    <row r="37" spans="1:7" ht="36.75" customHeight="1" x14ac:dyDescent="0.6">
      <c r="A37" s="145"/>
      <c r="B37" s="145"/>
      <c r="C37" s="146"/>
      <c r="D37" s="146"/>
      <c r="E37" s="153"/>
      <c r="F37" s="154"/>
      <c r="G37" s="155"/>
    </row>
    <row r="38" spans="1:7" ht="36.75" customHeight="1" x14ac:dyDescent="0.6">
      <c r="A38" s="145"/>
      <c r="B38" s="145"/>
      <c r="C38" s="146"/>
      <c r="D38" s="146"/>
      <c r="E38" s="153"/>
      <c r="F38" s="154"/>
      <c r="G38" s="155"/>
    </row>
    <row r="39" spans="1:7" ht="36.75" customHeight="1" x14ac:dyDescent="0.6">
      <c r="A39" s="145"/>
      <c r="B39" s="145"/>
      <c r="C39" s="146"/>
      <c r="D39" s="146"/>
      <c r="E39" s="153"/>
      <c r="F39" s="154"/>
      <c r="G39" s="155"/>
    </row>
    <row r="40" spans="1:7" ht="36.75" customHeight="1" x14ac:dyDescent="0.6">
      <c r="A40" s="145"/>
      <c r="B40" s="145"/>
      <c r="C40" s="146"/>
      <c r="D40" s="146"/>
      <c r="E40" s="153"/>
      <c r="F40" s="154"/>
      <c r="G40" s="155"/>
    </row>
    <row r="41" spans="1:7" ht="36.75" customHeight="1" x14ac:dyDescent="0.6">
      <c r="A41" s="145"/>
      <c r="B41" s="145"/>
      <c r="C41" s="146"/>
      <c r="D41" s="146"/>
      <c r="E41" s="153"/>
      <c r="F41" s="154"/>
      <c r="G41" s="155"/>
    </row>
    <row r="42" spans="1:7" ht="36.75" customHeight="1" x14ac:dyDescent="0.6">
      <c r="A42" s="145"/>
      <c r="B42" s="145"/>
      <c r="C42" s="146"/>
      <c r="D42" s="146"/>
      <c r="E42" s="153"/>
      <c r="F42" s="154"/>
      <c r="G42" s="155"/>
    </row>
    <row r="43" spans="1:7" ht="36.75" customHeight="1" x14ac:dyDescent="0.6">
      <c r="A43" s="145"/>
      <c r="B43" s="145"/>
      <c r="C43" s="146"/>
      <c r="D43" s="146"/>
      <c r="E43" s="153"/>
      <c r="F43" s="154"/>
      <c r="G43" s="155"/>
    </row>
    <row r="44" spans="1:7" ht="36.75" customHeight="1" x14ac:dyDescent="0.6">
      <c r="A44" s="145"/>
      <c r="B44" s="145"/>
      <c r="C44" s="146"/>
      <c r="D44" s="146"/>
      <c r="E44" s="153"/>
      <c r="F44" s="154"/>
      <c r="G44" s="155"/>
    </row>
    <row r="45" spans="1:7" ht="36.75" customHeight="1" x14ac:dyDescent="0.6">
      <c r="A45" s="145"/>
      <c r="B45" s="145"/>
      <c r="C45" s="146"/>
      <c r="D45" s="146"/>
      <c r="E45" s="153"/>
      <c r="F45" s="154"/>
      <c r="G45" s="155"/>
    </row>
    <row r="46" spans="1:7" ht="36.75" customHeight="1" x14ac:dyDescent="0.6">
      <c r="A46" s="145"/>
      <c r="B46" s="145"/>
      <c r="C46" s="146"/>
      <c r="D46" s="146"/>
      <c r="E46" s="153"/>
      <c r="F46" s="154"/>
      <c r="G46" s="155"/>
    </row>
    <row r="47" spans="1:7" ht="36.75" customHeight="1" x14ac:dyDescent="0.6">
      <c r="A47" s="145"/>
      <c r="B47" s="145"/>
      <c r="C47" s="146"/>
      <c r="D47" s="146"/>
      <c r="E47" s="153"/>
      <c r="F47" s="154"/>
      <c r="G47" s="155"/>
    </row>
    <row r="48" spans="1:7" ht="36.75" customHeight="1" x14ac:dyDescent="0.6">
      <c r="A48" s="145"/>
      <c r="B48" s="145"/>
      <c r="C48" s="146"/>
      <c r="D48" s="146"/>
      <c r="E48" s="153"/>
      <c r="F48" s="154"/>
      <c r="G48" s="155"/>
    </row>
    <row r="49" spans="1:7" ht="36.75" customHeight="1" x14ac:dyDescent="0.6">
      <c r="A49" s="145"/>
      <c r="B49" s="145"/>
      <c r="C49" s="146"/>
      <c r="D49" s="146"/>
      <c r="E49" s="153"/>
      <c r="F49" s="154"/>
      <c r="G49" s="155"/>
    </row>
    <row r="50" spans="1:7" ht="36.75" customHeight="1" x14ac:dyDescent="0.6">
      <c r="A50" s="145"/>
      <c r="B50" s="145"/>
      <c r="C50" s="146"/>
      <c r="D50" s="146"/>
      <c r="E50" s="153"/>
      <c r="F50" s="154"/>
      <c r="G50" s="155"/>
    </row>
    <row r="51" spans="1:7" ht="36.75" customHeight="1" x14ac:dyDescent="0.6">
      <c r="A51" s="145"/>
      <c r="B51" s="145"/>
      <c r="C51" s="146"/>
      <c r="D51" s="146"/>
      <c r="E51" s="153"/>
      <c r="F51" s="154"/>
      <c r="G51" s="155"/>
    </row>
    <row r="52" spans="1:7" ht="36.75" customHeight="1" x14ac:dyDescent="0.6">
      <c r="A52" s="145"/>
      <c r="B52" s="145"/>
      <c r="C52" s="146"/>
      <c r="D52" s="146"/>
      <c r="E52" s="153"/>
      <c r="F52" s="154"/>
      <c r="G52" s="155"/>
    </row>
    <row r="53" spans="1:7" ht="36.75" customHeight="1" x14ac:dyDescent="0.6">
      <c r="A53" s="145"/>
      <c r="B53" s="145"/>
      <c r="C53" s="146"/>
      <c r="D53" s="146"/>
      <c r="E53" s="153"/>
      <c r="F53" s="154"/>
      <c r="G53" s="155"/>
    </row>
    <row r="54" spans="1:7" ht="36.75" customHeight="1" x14ac:dyDescent="0.6">
      <c r="A54" s="145"/>
      <c r="B54" s="145"/>
      <c r="C54" s="146"/>
      <c r="D54" s="146"/>
      <c r="E54" s="153"/>
      <c r="F54" s="154"/>
      <c r="G54" s="155"/>
    </row>
    <row r="55" spans="1:7" ht="36.75" customHeight="1" x14ac:dyDescent="0.6">
      <c r="A55" s="145"/>
      <c r="B55" s="145"/>
      <c r="C55" s="146"/>
      <c r="D55" s="146"/>
      <c r="E55" s="153"/>
      <c r="F55" s="154"/>
      <c r="G55" s="155"/>
    </row>
    <row r="56" spans="1:7" ht="36.75" customHeight="1" x14ac:dyDescent="0.6">
      <c r="A56" s="145"/>
      <c r="B56" s="145"/>
      <c r="C56" s="146"/>
      <c r="D56" s="146"/>
      <c r="E56" s="153"/>
      <c r="F56" s="154"/>
      <c r="G56" s="155"/>
    </row>
    <row r="57" spans="1:7" ht="36.75" customHeight="1" x14ac:dyDescent="0.6">
      <c r="A57" s="145"/>
      <c r="B57" s="145"/>
      <c r="C57" s="146"/>
      <c r="D57" s="146"/>
      <c r="E57" s="153"/>
      <c r="F57" s="154"/>
      <c r="G57" s="155"/>
    </row>
    <row r="58" spans="1:7" ht="36.75" customHeight="1" x14ac:dyDescent="0.6">
      <c r="A58" s="145"/>
      <c r="B58" s="145"/>
      <c r="C58" s="146"/>
      <c r="D58" s="146"/>
      <c r="E58" s="153"/>
      <c r="F58" s="154"/>
      <c r="G58" s="155"/>
    </row>
    <row r="59" spans="1:7" ht="36.75" customHeight="1" x14ac:dyDescent="0.6">
      <c r="A59" s="145"/>
      <c r="B59" s="145"/>
      <c r="C59" s="146"/>
      <c r="D59" s="146"/>
      <c r="E59" s="153"/>
      <c r="F59" s="154"/>
      <c r="G59" s="155"/>
    </row>
    <row r="60" spans="1:7" ht="36.75" customHeight="1" x14ac:dyDescent="0.6">
      <c r="A60" s="145"/>
      <c r="B60" s="145"/>
      <c r="C60" s="146"/>
      <c r="D60" s="146"/>
      <c r="E60" s="153"/>
      <c r="F60" s="154"/>
      <c r="G60" s="155"/>
    </row>
    <row r="61" spans="1:7" ht="36.75" customHeight="1" x14ac:dyDescent="0.6">
      <c r="A61" s="145"/>
      <c r="B61" s="145"/>
      <c r="C61" s="146"/>
      <c r="D61" s="146"/>
      <c r="E61" s="153"/>
      <c r="F61" s="154"/>
      <c r="G61" s="155"/>
    </row>
    <row r="62" spans="1:7" ht="36.75" customHeight="1" x14ac:dyDescent="0.6">
      <c r="A62" s="145"/>
      <c r="B62" s="145"/>
      <c r="C62" s="146"/>
      <c r="D62" s="146"/>
      <c r="E62" s="153"/>
      <c r="F62" s="154"/>
      <c r="G62" s="155"/>
    </row>
    <row r="63" spans="1:7" ht="36.75" customHeight="1" x14ac:dyDescent="0.6">
      <c r="A63" s="145"/>
      <c r="B63" s="145"/>
      <c r="C63" s="146"/>
      <c r="D63" s="146"/>
      <c r="E63" s="153"/>
      <c r="F63" s="154"/>
      <c r="G63" s="155"/>
    </row>
    <row r="64" spans="1:7" ht="36.75" customHeight="1" x14ac:dyDescent="0.6">
      <c r="A64" s="145"/>
      <c r="B64" s="145"/>
      <c r="C64" s="146"/>
      <c r="D64" s="146"/>
      <c r="E64" s="153"/>
      <c r="F64" s="154"/>
      <c r="G64" s="155"/>
    </row>
    <row r="65" spans="1:7" ht="36.75" customHeight="1" x14ac:dyDescent="0.6">
      <c r="A65" s="145"/>
      <c r="B65" s="145"/>
      <c r="C65" s="146"/>
      <c r="D65" s="146"/>
      <c r="E65" s="153"/>
      <c r="F65" s="154"/>
      <c r="G65" s="155"/>
    </row>
    <row r="66" spans="1:7" ht="36.75" customHeight="1" x14ac:dyDescent="0.6">
      <c r="A66" s="145"/>
      <c r="B66" s="145"/>
      <c r="C66" s="146"/>
      <c r="D66" s="146"/>
      <c r="E66" s="153"/>
      <c r="F66" s="154"/>
      <c r="G66" s="155"/>
    </row>
    <row r="67" spans="1:7" ht="36.75" customHeight="1" x14ac:dyDescent="0.6">
      <c r="A67" s="145"/>
      <c r="B67" s="145"/>
      <c r="C67" s="146"/>
      <c r="D67" s="146"/>
      <c r="E67" s="153"/>
      <c r="F67" s="154"/>
      <c r="G67" s="155"/>
    </row>
    <row r="68" spans="1:7" ht="36.75" customHeight="1" x14ac:dyDescent="0.6">
      <c r="A68" s="145"/>
      <c r="B68" s="145"/>
      <c r="C68" s="146"/>
      <c r="D68" s="146"/>
      <c r="E68" s="153"/>
      <c r="F68" s="154"/>
      <c r="G68" s="155"/>
    </row>
    <row r="69" spans="1:7" ht="36.75" customHeight="1" x14ac:dyDescent="0.6">
      <c r="A69" s="145"/>
      <c r="B69" s="145"/>
      <c r="C69" s="146"/>
      <c r="D69" s="146"/>
      <c r="E69" s="153"/>
      <c r="F69" s="154"/>
      <c r="G69" s="155"/>
    </row>
    <row r="70" spans="1:7" ht="36.75" customHeight="1" x14ac:dyDescent="0.6">
      <c r="A70" s="145"/>
      <c r="B70" s="145"/>
      <c r="C70" s="146"/>
      <c r="D70" s="146"/>
      <c r="E70" s="153"/>
      <c r="F70" s="154"/>
      <c r="G70" s="155"/>
    </row>
    <row r="71" spans="1:7" ht="36.75" customHeight="1" x14ac:dyDescent="0.6">
      <c r="A71" s="145"/>
      <c r="B71" s="145"/>
      <c r="C71" s="146"/>
      <c r="D71" s="146"/>
      <c r="E71" s="153"/>
      <c r="F71" s="154"/>
      <c r="G71" s="155"/>
    </row>
    <row r="72" spans="1:7" ht="36.75" customHeight="1" x14ac:dyDescent="0.6">
      <c r="A72" s="145"/>
      <c r="B72" s="145"/>
      <c r="C72" s="146"/>
      <c r="D72" s="146"/>
      <c r="E72" s="153"/>
      <c r="F72" s="154"/>
      <c r="G72" s="155"/>
    </row>
    <row r="73" spans="1:7" ht="36.75" customHeight="1" x14ac:dyDescent="0.6">
      <c r="A73" s="145"/>
      <c r="B73" s="145"/>
      <c r="C73" s="146"/>
      <c r="D73" s="146"/>
      <c r="E73" s="153"/>
      <c r="F73" s="154"/>
      <c r="G73" s="155"/>
    </row>
    <row r="74" spans="1:7" ht="36.75" customHeight="1" x14ac:dyDescent="0.6">
      <c r="A74" s="145"/>
      <c r="B74" s="145"/>
      <c r="C74" s="146"/>
      <c r="D74" s="146"/>
      <c r="E74" s="153"/>
      <c r="F74" s="154"/>
      <c r="G74" s="155"/>
    </row>
    <row r="75" spans="1:7" ht="36.75" customHeight="1" x14ac:dyDescent="0.6">
      <c r="A75" s="145"/>
      <c r="B75" s="145"/>
      <c r="C75" s="146"/>
      <c r="D75" s="146"/>
      <c r="E75" s="153"/>
      <c r="F75" s="154"/>
      <c r="G75" s="155"/>
    </row>
    <row r="76" spans="1:7" ht="36.75" customHeight="1" x14ac:dyDescent="0.6">
      <c r="A76" s="145"/>
      <c r="B76" s="145"/>
      <c r="C76" s="146"/>
      <c r="D76" s="146"/>
      <c r="E76" s="153"/>
      <c r="F76" s="154"/>
      <c r="G76" s="155"/>
    </row>
    <row r="77" spans="1:7" ht="36.75" customHeight="1" x14ac:dyDescent="0.6">
      <c r="A77" s="145"/>
      <c r="B77" s="145"/>
      <c r="C77" s="146"/>
      <c r="D77" s="146"/>
      <c r="E77" s="153"/>
      <c r="F77" s="154"/>
      <c r="G77" s="155"/>
    </row>
    <row r="78" spans="1:7" ht="36.75" customHeight="1" x14ac:dyDescent="0.6">
      <c r="A78" s="145"/>
      <c r="B78" s="145"/>
      <c r="C78" s="146"/>
      <c r="D78" s="146"/>
      <c r="E78" s="153"/>
      <c r="F78" s="154"/>
      <c r="G78" s="155"/>
    </row>
    <row r="79" spans="1:7" ht="36.75" customHeight="1" x14ac:dyDescent="0.6">
      <c r="A79" s="145"/>
      <c r="B79" s="145"/>
      <c r="C79" s="146"/>
      <c r="D79" s="146"/>
      <c r="E79" s="153"/>
      <c r="F79" s="154"/>
      <c r="G79" s="155"/>
    </row>
    <row r="80" spans="1:7" ht="36.75" customHeight="1" x14ac:dyDescent="0.6">
      <c r="A80" s="145"/>
      <c r="B80" s="145"/>
      <c r="C80" s="146"/>
      <c r="D80" s="146"/>
      <c r="E80" s="153"/>
      <c r="F80" s="154"/>
      <c r="G80" s="155"/>
    </row>
    <row r="81" spans="1:7" ht="36.75" customHeight="1" x14ac:dyDescent="0.6">
      <c r="A81" s="145"/>
      <c r="B81" s="145"/>
      <c r="C81" s="146"/>
      <c r="D81" s="146"/>
      <c r="E81" s="153"/>
      <c r="F81" s="154"/>
      <c r="G81" s="155"/>
    </row>
    <row r="82" spans="1:7" ht="36.75" customHeight="1" x14ac:dyDescent="0.6">
      <c r="A82" s="145"/>
      <c r="B82" s="145"/>
      <c r="C82" s="146"/>
      <c r="D82" s="146"/>
      <c r="E82" s="153"/>
      <c r="F82" s="154"/>
      <c r="G82" s="155"/>
    </row>
    <row r="83" spans="1:7" ht="36.75" customHeight="1" x14ac:dyDescent="0.6">
      <c r="A83" s="145"/>
      <c r="B83" s="145"/>
      <c r="C83" s="146"/>
      <c r="D83" s="146"/>
      <c r="E83" s="153"/>
      <c r="F83" s="154"/>
      <c r="G83" s="155"/>
    </row>
    <row r="84" spans="1:7" ht="36.75" customHeight="1" x14ac:dyDescent="0.6">
      <c r="A84" s="145"/>
      <c r="B84" s="145"/>
      <c r="C84" s="146"/>
      <c r="D84" s="146"/>
      <c r="E84" s="153"/>
      <c r="F84" s="154"/>
      <c r="G84" s="155"/>
    </row>
    <row r="85" spans="1:7" ht="36.75" customHeight="1" x14ac:dyDescent="0.6">
      <c r="A85" s="145"/>
      <c r="B85" s="145"/>
      <c r="C85" s="146"/>
      <c r="D85" s="146"/>
      <c r="E85" s="153"/>
      <c r="F85" s="154"/>
      <c r="G85" s="155"/>
    </row>
    <row r="86" spans="1:7" ht="36.75" customHeight="1" x14ac:dyDescent="0.6">
      <c r="A86" s="145"/>
      <c r="B86" s="145"/>
      <c r="C86" s="146"/>
      <c r="D86" s="146"/>
      <c r="E86" s="153"/>
      <c r="F86" s="154"/>
      <c r="G86" s="155"/>
    </row>
    <row r="87" spans="1:7" ht="36.75" customHeight="1" x14ac:dyDescent="0.6">
      <c r="A87" s="145"/>
      <c r="B87" s="145"/>
      <c r="C87" s="146"/>
      <c r="D87" s="146"/>
      <c r="E87" s="153"/>
      <c r="F87" s="154"/>
      <c r="G87" s="155"/>
    </row>
    <row r="88" spans="1:7" ht="36.75" customHeight="1" x14ac:dyDescent="0.6">
      <c r="A88" s="145"/>
      <c r="B88" s="145"/>
      <c r="C88" s="146"/>
      <c r="D88" s="146"/>
      <c r="E88" s="153"/>
      <c r="F88" s="154"/>
      <c r="G88" s="155"/>
    </row>
    <row r="89" spans="1:7" ht="36.75" customHeight="1" x14ac:dyDescent="0.6">
      <c r="A89" s="145"/>
      <c r="B89" s="145"/>
      <c r="C89" s="146"/>
      <c r="D89" s="146"/>
      <c r="E89" s="153"/>
      <c r="F89" s="154"/>
      <c r="G89" s="155"/>
    </row>
    <row r="90" spans="1:7" ht="36.75" customHeight="1" x14ac:dyDescent="0.6">
      <c r="A90" s="145"/>
      <c r="B90" s="145"/>
      <c r="C90" s="146"/>
      <c r="D90" s="146"/>
      <c r="E90" s="153"/>
      <c r="F90" s="154"/>
      <c r="G90" s="155"/>
    </row>
    <row r="91" spans="1:7" ht="36.75" customHeight="1" x14ac:dyDescent="0.6">
      <c r="A91" s="145"/>
      <c r="B91" s="145"/>
      <c r="C91" s="146"/>
      <c r="D91" s="146"/>
      <c r="E91" s="153"/>
      <c r="F91" s="154"/>
      <c r="G91" s="155"/>
    </row>
    <row r="92" spans="1:7" ht="36.75" customHeight="1" x14ac:dyDescent="0.6">
      <c r="A92" s="145"/>
      <c r="B92" s="145"/>
      <c r="C92" s="146"/>
      <c r="D92" s="146"/>
      <c r="E92" s="153"/>
      <c r="F92" s="154"/>
      <c r="G92" s="155"/>
    </row>
    <row r="93" spans="1:7" ht="36.75" customHeight="1" x14ac:dyDescent="0.6">
      <c r="A93" s="145"/>
      <c r="B93" s="145"/>
      <c r="C93" s="146"/>
      <c r="D93" s="146"/>
      <c r="E93" s="153"/>
      <c r="F93" s="154"/>
      <c r="G93" s="155"/>
    </row>
    <row r="94" spans="1:7" ht="36.75" customHeight="1" thickBot="1" x14ac:dyDescent="0.65">
      <c r="A94" s="145"/>
      <c r="B94" s="145"/>
      <c r="C94" s="146"/>
      <c r="D94" s="146"/>
      <c r="E94" s="153"/>
      <c r="F94" s="156"/>
      <c r="G94" s="157"/>
    </row>
  </sheetData>
  <mergeCells count="2">
    <mergeCell ref="C2:G2"/>
    <mergeCell ref="F5:G5"/>
  </mergeCells>
  <dataValidations count="1">
    <dataValidation type="list" allowBlank="1" showInputMessage="1" showErrorMessage="1" sqref="C4" xr:uid="{00000000-0002-0000-0700-000000000000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Call-FollowUp form</vt:lpstr>
      <vt:lpstr>Call_Form</vt:lpstr>
      <vt:lpstr>Form_เพิ่มลูกค้า</vt:lpstr>
      <vt:lpstr>Customer Structure</vt:lpstr>
      <vt:lpstr>Index</vt:lpstr>
      <vt:lpstr>Request_B2B</vt:lpstr>
      <vt:lpstr>Questionaire</vt:lpstr>
      <vt:lpstr>Visit Form</vt:lpstr>
      <vt:lpstr>Call_Form!Print_Area</vt:lpstr>
      <vt:lpstr>Form_เพิ่มลูกค้า!Print_Area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MISSupport</dc:creator>
  <cp:keywords/>
  <dc:description/>
  <cp:lastModifiedBy>B2B Korakot Saelim</cp:lastModifiedBy>
  <cp:revision/>
  <dcterms:created xsi:type="dcterms:W3CDTF">2017-08-07T02:22:47Z</dcterms:created>
  <dcterms:modified xsi:type="dcterms:W3CDTF">2024-10-29T08:48:59Z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10573</vt:lpwstr>
  </property>
  <property fmtid="{D5CDD505-2E9C-101B-9397-08002B2CF9AE}" pid="3" name="NXPowerLiteSettings">
    <vt:lpwstr>F7000400038000</vt:lpwstr>
  </property>
  <property fmtid="{D5CDD505-2E9C-101B-9397-08002B2CF9AE}" pid="4" name="NXPowerLiteVersion">
    <vt:lpwstr>D7.0.1</vt:lpwstr>
  </property>
</Properties>
</file>